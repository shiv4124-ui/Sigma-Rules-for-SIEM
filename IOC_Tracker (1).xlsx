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C Tracker" sheetId="1" state="visible" r:id="rId3"/>
    <sheet name="Summary" sheetId="2" state="visible" r:id="rId4"/>
    <sheet name="Lists" sheetId="3" state="hidden" r:id="rId5"/>
    <sheet name="IOC Types" sheetId="4" state="visible" r:id="rId6"/>
    <sheet name="Sources" sheetId="5" state="visible" r:id="rId7"/>
  </sheets>
  <definedNames>
    <definedName function="false" hidden="true" localSheetId="0" name="_xlnm._FilterDatabase" vbProcedure="false">'IOC Tracker'!$A$4:$N$280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<sst xmlns="http://schemas.openxmlformats.org/spreadsheetml/2006/main" count="1866" uniqueCount="626">
  <si>
    <t xml:space="preserve">IOC Tracker</t>
  </si>
  <si>
    <t xml:space="preserve">LIVE MALICIOUS INDICATORS (defanged) pulled 2026-10-13 from abuse.ch ThreatFox, MalwareBazaar and Feodo Tracker. Click any Source cell to verify on the feed before blocking. Yellow cells are editable; Status (col N) updates from the Expiry / Review date. Blank rows at the bottom are for your own IOCs.</t>
  </si>
  <si>
    <t xml:space="preserve">ID</t>
  </si>
  <si>
    <t xml:space="preserve">Indicator (defanged)</t>
  </si>
  <si>
    <t xml:space="preserve">IOC Type</t>
  </si>
  <si>
    <t xml:space="preserve">Threat Actor / Malware Family</t>
  </si>
  <si>
    <t xml:space="preserve">MITRE ATT&amp;CK Technique</t>
  </si>
  <si>
    <t xml:space="preserve">Confidence</t>
  </si>
  <si>
    <t xml:space="preserve">Severity</t>
  </si>
  <si>
    <t xml:space="preserve">First Seen</t>
  </si>
  <si>
    <t xml:space="preserve">Last Seen</t>
  </si>
  <si>
    <t xml:space="preserve">Source</t>
  </si>
  <si>
    <t xml:space="preserve">Action Taken</t>
  </si>
  <si>
    <t xml:space="preserve">Expiry / Review Date</t>
  </si>
  <si>
    <t xml:space="preserve">Notes</t>
  </si>
  <si>
    <t xml:space="preserve">Status</t>
  </si>
  <si>
    <t xml:space="preserve">IOC-001</t>
  </si>
  <si>
    <t xml:space="preserve">hxxps://x5u[.]6r6r6[.]org/x0</t>
  </si>
  <si>
    <t xml:space="preserve">URL</t>
  </si>
  <si>
    <t xml:space="preserve">Vidar</t>
  </si>
  <si>
    <t xml:space="preserve">T1071 - Application Layer Protocol</t>
  </si>
  <si>
    <t xml:space="preserve">High</t>
  </si>
  <si>
    <t xml:space="preserve">ThreatFox #1963079</t>
  </si>
  <si>
    <t xml:space="preserve">Investigating</t>
  </si>
  <si>
    <t xml:space="preserve">botnet_cc; reporter Bitsight</t>
  </si>
  <si>
    <t xml:space="preserve">IOC-002</t>
  </si>
  <si>
    <t xml:space="preserve">hxxps://x5u[.]6r6r6[.]org/a</t>
  </si>
  <si>
    <t xml:space="preserve">ThreatFox #1963078</t>
  </si>
  <si>
    <t xml:space="preserve">IOC-003</t>
  </si>
  <si>
    <t xml:space="preserve">hxxps://x5u[.]6r6r6[.]org</t>
  </si>
  <si>
    <t xml:space="preserve">ThreatFox #1963077</t>
  </si>
  <si>
    <t xml:space="preserve">IOC-004</t>
  </si>
  <si>
    <t xml:space="preserve">hxxps://y1[.]6r6r6[.]org/io/</t>
  </si>
  <si>
    <t xml:space="preserve">ThreatFox #1963076</t>
  </si>
  <si>
    <t xml:space="preserve">botnet_cc; reporter crep1x; compromised legitimate site</t>
  </si>
  <si>
    <t xml:space="preserve">IOC-005</t>
  </si>
  <si>
    <t xml:space="preserve">hxxps://y1[.]6r6r6[.]org/gp</t>
  </si>
  <si>
    <t xml:space="preserve">ThreatFox #1963075</t>
  </si>
  <si>
    <t xml:space="preserve">IOC-006</t>
  </si>
  <si>
    <t xml:space="preserve">hxxps://y1[.]6r6r6[.]org/i7p</t>
  </si>
  <si>
    <t xml:space="preserve">ThreatFox #1963074</t>
  </si>
  <si>
    <t xml:space="preserve">IOC-007</t>
  </si>
  <si>
    <t xml:space="preserve">hxxps://y1[.]6r6r6[.]org/fx/</t>
  </si>
  <si>
    <t xml:space="preserve">ThreatFox #1963073</t>
  </si>
  <si>
    <t xml:space="preserve">IOC-008</t>
  </si>
  <si>
    <t xml:space="preserve">hxxps://y1[.]6r6r6[.]org/fx</t>
  </si>
  <si>
    <t xml:space="preserve">ThreatFox #1963072</t>
  </si>
  <si>
    <t xml:space="preserve">IOC-009</t>
  </si>
  <si>
    <t xml:space="preserve">hxxps://y1[.]6r6r6[.]org/ux</t>
  </si>
  <si>
    <t xml:space="preserve">ThreatFox #1963071</t>
  </si>
  <si>
    <t xml:space="preserve">IOC-010</t>
  </si>
  <si>
    <t xml:space="preserve">hxxps://y1[.]6r6r6[.]org/xc</t>
  </si>
  <si>
    <t xml:space="preserve">ThreatFox #1963070</t>
  </si>
  <si>
    <t xml:space="preserve">IOC-011</t>
  </si>
  <si>
    <t xml:space="preserve">hxxps://y1[.]6r6r6[.]org/xc/</t>
  </si>
  <si>
    <t xml:space="preserve">ThreatFox #1963069</t>
  </si>
  <si>
    <t xml:space="preserve">IOC-012</t>
  </si>
  <si>
    <t xml:space="preserve">hxxps://y1[.]6r6r6[.]org/jg</t>
  </si>
  <si>
    <t xml:space="preserve">ThreatFox #1963068</t>
  </si>
  <si>
    <t xml:space="preserve">IOC-013</t>
  </si>
  <si>
    <t xml:space="preserve">hxxps://y1[.]6r6r6[.]org/rx</t>
  </si>
  <si>
    <t xml:space="preserve">ThreatFox #1963067</t>
  </si>
  <si>
    <t xml:space="preserve">IOC-014</t>
  </si>
  <si>
    <t xml:space="preserve">hxxps://y1[.]6r6r6[.]org/f0n/</t>
  </si>
  <si>
    <t xml:space="preserve">ThreatFox #1963066</t>
  </si>
  <si>
    <t xml:space="preserve">IOC-015</t>
  </si>
  <si>
    <t xml:space="preserve">hxxps://y1[.]6r6r6[.]org/f0n</t>
  </si>
  <si>
    <t xml:space="preserve">ThreatFox #1963065</t>
  </si>
  <si>
    <t xml:space="preserve">IOC-016</t>
  </si>
  <si>
    <t xml:space="preserve">dc30yzl72d[.]workers[.]dev</t>
  </si>
  <si>
    <t xml:space="preserve">Domain</t>
  </si>
  <si>
    <t xml:space="preserve">php.shin_webshell</t>
  </si>
  <si>
    <t xml:space="preserve">T1105 - Ingress Tool Transfer</t>
  </si>
  <si>
    <t xml:space="preserve">Low</t>
  </si>
  <si>
    <t xml:space="preserve">Medium</t>
  </si>
  <si>
    <t xml:space="preserve">ThreatFox #1963064</t>
  </si>
  <si>
    <t xml:space="preserve">payload_delivery; reporter xscon; compromised legitimate site</t>
  </si>
  <si>
    <t xml:space="preserve">IOC-017</t>
  </si>
  <si>
    <t xml:space="preserve">hxxps://y1[.]6r6r6[.]org/so</t>
  </si>
  <si>
    <t xml:space="preserve">ThreatFox #1963063</t>
  </si>
  <si>
    <t xml:space="preserve">IOC-018</t>
  </si>
  <si>
    <t xml:space="preserve">hxxps://y1[.]6r6r6[.]org/i37/</t>
  </si>
  <si>
    <t xml:space="preserve">ThreatFox #1963062</t>
  </si>
  <si>
    <t xml:space="preserve">IOC-019</t>
  </si>
  <si>
    <t xml:space="preserve">hxxps://y1[.]6r6r6[.]org/i37</t>
  </si>
  <si>
    <t xml:space="preserve">ThreatFox #1963061</t>
  </si>
  <si>
    <t xml:space="preserve">IOC-020</t>
  </si>
  <si>
    <t xml:space="preserve">hxxps://y1[.]6r6r6[.]org/jl</t>
  </si>
  <si>
    <t xml:space="preserve">ThreatFox #1963060</t>
  </si>
  <si>
    <t xml:space="preserve">IOC-021</t>
  </si>
  <si>
    <t xml:space="preserve">hxxps://y1[.]6r6r6[.]org/mas/</t>
  </si>
  <si>
    <t xml:space="preserve">ThreatFox #1963059</t>
  </si>
  <si>
    <t xml:space="preserve">IOC-022</t>
  </si>
  <si>
    <t xml:space="preserve">google-proxy-66-249-88-71[.]google[.]com</t>
  </si>
  <si>
    <t xml:space="preserve">ThreatFox #1963058</t>
  </si>
  <si>
    <t xml:space="preserve">payload_delivery; reporter xscon; compromised legitimate site; CAUTION: Google infrastructure hostname - likely false positive, do NOT block without verifying</t>
  </si>
  <si>
    <t xml:space="preserve">IOC-023</t>
  </si>
  <si>
    <t xml:space="preserve">hxxps://y1[.]6r6r6[.]org/mas</t>
  </si>
  <si>
    <t xml:space="preserve">ThreatFox #1963057</t>
  </si>
  <si>
    <t xml:space="preserve">IOC-024</t>
  </si>
  <si>
    <t xml:space="preserve">hxxps://y1[.]6r6r6[.]org/v6</t>
  </si>
  <si>
    <t xml:space="preserve">ThreatFox #1963056</t>
  </si>
  <si>
    <t xml:space="preserve">IOC-025</t>
  </si>
  <si>
    <t xml:space="preserve">hxxps://y1[.]6r6r6[.]org/i2o/</t>
  </si>
  <si>
    <t xml:space="preserve">ThreatFox #1963055</t>
  </si>
  <si>
    <t xml:space="preserve">IOC-026</t>
  </si>
  <si>
    <t xml:space="preserve">hxxps://y1[.]6r6r6[.]org/i2o</t>
  </si>
  <si>
    <t xml:space="preserve">ThreatFox #1963054</t>
  </si>
  <si>
    <t xml:space="preserve">IOC-027</t>
  </si>
  <si>
    <t xml:space="preserve">hxxps://y1[.]6r6r6[.]org/o3</t>
  </si>
  <si>
    <t xml:space="preserve">ThreatFox #1963053</t>
  </si>
  <si>
    <t xml:space="preserve">IOC-028</t>
  </si>
  <si>
    <t xml:space="preserve">lesmueller[.]ch</t>
  </si>
  <si>
    <t xml:space="preserve">ClearFake</t>
  </si>
  <si>
    <t xml:space="preserve">ThreatFox #1963052</t>
  </si>
  <si>
    <t xml:space="preserve">payload_delivery; reporter anonymous; compromised legitimate site</t>
  </si>
  <si>
    <t xml:space="preserve">IOC-029</t>
  </si>
  <si>
    <t xml:space="preserve">hxxps://y1[.]6r6r6[.]org/se</t>
  </si>
  <si>
    <t xml:space="preserve">ThreatFox #1963051</t>
  </si>
  <si>
    <t xml:space="preserve">IOC-030</t>
  </si>
  <si>
    <t xml:space="preserve">hxxps://y1[.]6r6r6[.]org/td/</t>
  </si>
  <si>
    <t xml:space="preserve">ThreatFox #1963050</t>
  </si>
  <si>
    <t xml:space="preserve">IOC-031</t>
  </si>
  <si>
    <t xml:space="preserve">hxxps://y1[.]6r6r6[.]org/td</t>
  </si>
  <si>
    <t xml:space="preserve">ThreatFox #1963049</t>
  </si>
  <si>
    <t xml:space="preserve">IOC-032</t>
  </si>
  <si>
    <t xml:space="preserve">hxxps://y1[.]6r6r6[.]org/j0</t>
  </si>
  <si>
    <t xml:space="preserve">ThreatFox #1963048</t>
  </si>
  <si>
    <t xml:space="preserve">IOC-033</t>
  </si>
  <si>
    <t xml:space="preserve">hxxps://y1[.]6r6r6[.]org/l1</t>
  </si>
  <si>
    <t xml:space="preserve">ThreatFox #1963047</t>
  </si>
  <si>
    <t xml:space="preserve">IOC-034</t>
  </si>
  <si>
    <t xml:space="preserve">hxxps://y1[.]6r6r6[.]org/l1/</t>
  </si>
  <si>
    <t xml:space="preserve">ThreatFox #1963046</t>
  </si>
  <si>
    <t xml:space="preserve">IOC-035</t>
  </si>
  <si>
    <t xml:space="preserve">hxxps://y1[.]6r6r6[.]org/mvd</t>
  </si>
  <si>
    <t xml:space="preserve">ThreatFox #1963045</t>
  </si>
  <si>
    <t xml:space="preserve">IOC-036</t>
  </si>
  <si>
    <t xml:space="preserve">hxxps://y1[.]6r6r6[.]org/ym</t>
  </si>
  <si>
    <t xml:space="preserve">ThreatFox #1963044</t>
  </si>
  <si>
    <t xml:space="preserve">IOC-037</t>
  </si>
  <si>
    <t xml:space="preserve">hxxps://y1[.]6r6r6[.]org/tb/</t>
  </si>
  <si>
    <t xml:space="preserve">ThreatFox #1963043</t>
  </si>
  <si>
    <t xml:space="preserve">IOC-038</t>
  </si>
  <si>
    <t xml:space="preserve">hxxps://y1[.]6r6r6[.]org/tb</t>
  </si>
  <si>
    <t xml:space="preserve">ThreatFox #1963042</t>
  </si>
  <si>
    <t xml:space="preserve">IOC-039</t>
  </si>
  <si>
    <t xml:space="preserve">hxxps://y1[.]6r6r6[.]org/lu</t>
  </si>
  <si>
    <t xml:space="preserve">ThreatFox #1963041</t>
  </si>
  <si>
    <t xml:space="preserve">IOC-040</t>
  </si>
  <si>
    <t xml:space="preserve">hxxps://y1[.]6r6r6[.]org/fo</t>
  </si>
  <si>
    <t xml:space="preserve">ThreatFox #1963040</t>
  </si>
  <si>
    <t xml:space="preserve">IOC-041</t>
  </si>
  <si>
    <t xml:space="preserve">hxxps://y1[.]6r6r6[.]org/fo/</t>
  </si>
  <si>
    <t xml:space="preserve">ThreatFox #1963039</t>
  </si>
  <si>
    <t xml:space="preserve">IOC-042</t>
  </si>
  <si>
    <t xml:space="preserve">64[.]89[.]160[.]185:8001</t>
  </si>
  <si>
    <t xml:space="preserve">IPv4/IPv6 address</t>
  </si>
  <si>
    <t xml:space="preserve">Aisuru</t>
  </si>
  <si>
    <t xml:space="preserve">ThreatFox #1963038</t>
  </si>
  <si>
    <t xml:space="preserve">IOC-043</t>
  </si>
  <si>
    <t xml:space="preserve">hxxps://y1[.]6r6r6[.]org/w</t>
  </si>
  <si>
    <t xml:space="preserve">ThreatFox #1963037</t>
  </si>
  <si>
    <t xml:space="preserve">IOC-044</t>
  </si>
  <si>
    <t xml:space="preserve">www[.]lesmueller[.]ch</t>
  </si>
  <si>
    <t xml:space="preserve">ThreatFox #1963036</t>
  </si>
  <si>
    <t xml:space="preserve">IOC-045</t>
  </si>
  <si>
    <t xml:space="preserve">hxxps://y1[.]6r6r6[.]org/k34</t>
  </si>
  <si>
    <t xml:space="preserve">ThreatFox #1963035</t>
  </si>
  <si>
    <t xml:space="preserve">IOC-046</t>
  </si>
  <si>
    <t xml:space="preserve">hxxps://y1[.]6r6r6[.]org/xzm/</t>
  </si>
  <si>
    <t xml:space="preserve">ThreatFox #1963034</t>
  </si>
  <si>
    <t xml:space="preserve">IOC-047</t>
  </si>
  <si>
    <t xml:space="preserve">hxxps://y1[.]6r6r6[.]org/xzm</t>
  </si>
  <si>
    <t xml:space="preserve">ThreatFox #1963033</t>
  </si>
  <si>
    <t xml:space="preserve">IOC-048</t>
  </si>
  <si>
    <t xml:space="preserve">hxxps://y1[.]6r6r6[.]org/tw</t>
  </si>
  <si>
    <t xml:space="preserve">ThreatFox #1963032</t>
  </si>
  <si>
    <t xml:space="preserve">IOC-049</t>
  </si>
  <si>
    <t xml:space="preserve">buildinganime[.]unaux[.]com</t>
  </si>
  <si>
    <t xml:space="preserve">ThreatFox #1963031</t>
  </si>
  <si>
    <t xml:space="preserve">IOC-050</t>
  </si>
  <si>
    <t xml:space="preserve">hxxps://d4[.]6r6r6[.]org/vl/</t>
  </si>
  <si>
    <t xml:space="preserve">ThreatFox #1963030</t>
  </si>
  <si>
    <t xml:space="preserve">IOC-051</t>
  </si>
  <si>
    <t xml:space="preserve">hxxps://d4[.]6r6r6[.]org/vl</t>
  </si>
  <si>
    <t xml:space="preserve">ThreatFox #1963028</t>
  </si>
  <si>
    <t xml:space="preserve">IOC-052</t>
  </si>
  <si>
    <t xml:space="preserve">hxxps://cdn[.]jsdelivr[.]net/gh/19234tr68/77347873-6b60-4931-b4a0/9094-3d24378096e8</t>
  </si>
  <si>
    <t xml:space="preserve">ThreatFox #1963027</t>
  </si>
  <si>
    <t xml:space="preserve">payload_delivery; reporter threatcat_ch; legit CDN - block this exact URL only, never the domain</t>
  </si>
  <si>
    <t xml:space="preserve">IOC-053</t>
  </si>
  <si>
    <t xml:space="preserve">hxxps://d4[.]6r6r6[.]org/gde</t>
  </si>
  <si>
    <t xml:space="preserve">ThreatFox #1963026</t>
  </si>
  <si>
    <t xml:space="preserve">IOC-054</t>
  </si>
  <si>
    <t xml:space="preserve">hxxps://d4[.]6r6r6[.]org/zu</t>
  </si>
  <si>
    <t xml:space="preserve">ThreatFox #1963025</t>
  </si>
  <si>
    <t xml:space="preserve">IOC-055</t>
  </si>
  <si>
    <t xml:space="preserve">hxxps://d4[.]6r6r6[.]org/ew/</t>
  </si>
  <si>
    <t xml:space="preserve">ThreatFox #1963024</t>
  </si>
  <si>
    <t xml:space="preserve">IOC-056</t>
  </si>
  <si>
    <t xml:space="preserve">hxxps://d4[.]6r6r6[.]org/ew</t>
  </si>
  <si>
    <t xml:space="preserve">ThreatFox #1963023</t>
  </si>
  <si>
    <t xml:space="preserve">IOC-057</t>
  </si>
  <si>
    <t xml:space="preserve">db9581bf719943bb4085b2225abedb14f9a2b4cf562fe9c404821aec5a3363c2</t>
  </si>
  <si>
    <t xml:space="preserve">File hash (SHA256)</t>
  </si>
  <si>
    <t xml:space="preserve">Mirai (alias Katana)</t>
  </si>
  <si>
    <t xml:space="preserve">ThreatFox #1963022</t>
  </si>
  <si>
    <t xml:space="preserve">payload; reporter whack_sh</t>
  </si>
  <si>
    <t xml:space="preserve">IOC-058</t>
  </si>
  <si>
    <t xml:space="preserve">hxxps://d4[.]6r6r6[.]org/e1b</t>
  </si>
  <si>
    <t xml:space="preserve">ThreatFox #1963021</t>
  </si>
  <si>
    <t xml:space="preserve">IOC-059</t>
  </si>
  <si>
    <t xml:space="preserve">hxxps://d4[.]6r6r6[.]org/nr</t>
  </si>
  <si>
    <t xml:space="preserve">ThreatFox #1963020</t>
  </si>
  <si>
    <t xml:space="preserve">IOC-060</t>
  </si>
  <si>
    <t xml:space="preserve">hxxps://d4[.]6r6r6[.]org/nr/</t>
  </si>
  <si>
    <t xml:space="preserve">ThreatFox #1963019</t>
  </si>
  <si>
    <t xml:space="preserve">IOC-061</t>
  </si>
  <si>
    <t xml:space="preserve">147[.]182[.]144[.]201:8443</t>
  </si>
  <si>
    <t xml:space="preserve">ThreatFox #1962805</t>
  </si>
  <si>
    <t xml:space="preserve">botnet_cc (C2 server, IP:port)</t>
  </si>
  <si>
    <t xml:space="preserve">IOC-062</t>
  </si>
  <si>
    <t xml:space="preserve">120[.]76[.]143[.]184:8443</t>
  </si>
  <si>
    <t xml:space="preserve">Cobalt Strike</t>
  </si>
  <si>
    <t xml:space="preserve">ThreatFox #1962785</t>
  </si>
  <si>
    <t xml:space="preserve">IOC-063</t>
  </si>
  <si>
    <t xml:space="preserve">47[.]122[.]111[.]172:8080</t>
  </si>
  <si>
    <t xml:space="preserve">ThreatFox #1962784</t>
  </si>
  <si>
    <t xml:space="preserve">IOC-064</t>
  </si>
  <si>
    <t xml:space="preserve">47[.]236[.]199[.]243:7858</t>
  </si>
  <si>
    <t xml:space="preserve">Unknown malware</t>
  </si>
  <si>
    <t xml:space="preserve">ThreatFox #1962747</t>
  </si>
  <si>
    <t xml:space="preserve">IOC-065</t>
  </si>
  <si>
    <t xml:space="preserve">195[.]186[.]4[.]217:1705</t>
  </si>
  <si>
    <t xml:space="preserve">Unknown RAT</t>
  </si>
  <si>
    <t xml:space="preserve">ThreatFox #1962745</t>
  </si>
  <si>
    <t xml:space="preserve">IOC-066</t>
  </si>
  <si>
    <t xml:space="preserve">196[.]251[.]107[.]144:8082</t>
  </si>
  <si>
    <t xml:space="preserve">Unknown Stealer</t>
  </si>
  <si>
    <t xml:space="preserve">ThreatFox #1962721</t>
  </si>
  <si>
    <t xml:space="preserve">IOC-067</t>
  </si>
  <si>
    <t xml:space="preserve">60[.]217[.]58[.]49:56544</t>
  </si>
  <si>
    <t xml:space="preserve">Ghost RAT</t>
  </si>
  <si>
    <t xml:space="preserve">ThreatFox #1962067</t>
  </si>
  <si>
    <t xml:space="preserve">IOC-068</t>
  </si>
  <si>
    <t xml:space="preserve">103[.]170[.]217[.]170:3912</t>
  </si>
  <si>
    <t xml:space="preserve">Mirai</t>
  </si>
  <si>
    <t xml:space="preserve">ThreatFox #1962438</t>
  </si>
  <si>
    <t xml:space="preserve">IOC-069</t>
  </si>
  <si>
    <t xml:space="preserve">82[.]165[.]128[.]60:7474</t>
  </si>
  <si>
    <t xml:space="preserve">ThreatFox #1962514</t>
  </si>
  <si>
    <t xml:space="preserve">IOC-070</t>
  </si>
  <si>
    <t xml:space="preserve">8[.]134[.]194[.]129:443</t>
  </si>
  <si>
    <t xml:space="preserve">VShell</t>
  </si>
  <si>
    <t xml:space="preserve">ThreatFox #1962553</t>
  </si>
  <si>
    <t xml:space="preserve">IOC-071</t>
  </si>
  <si>
    <t xml:space="preserve">124[.]222[.]20[.]139:53351</t>
  </si>
  <si>
    <t xml:space="preserve">ThreatFox #1962554</t>
  </si>
  <si>
    <t xml:space="preserve">IOC-072</t>
  </si>
  <si>
    <t xml:space="preserve">107[.]173[.]101[.]114:10000</t>
  </si>
  <si>
    <t xml:space="preserve">ThreatFox #1962555</t>
  </si>
  <si>
    <t xml:space="preserve">IOC-073</t>
  </si>
  <si>
    <t xml:space="preserve">38[.]47[.]221[.]19:9090</t>
  </si>
  <si>
    <t xml:space="preserve">ThreatFox #1962556</t>
  </si>
  <si>
    <t xml:space="preserve">IOC-074</t>
  </si>
  <si>
    <t xml:space="preserve">196[.]251[.]86[.]142:28571</t>
  </si>
  <si>
    <t xml:space="preserve">ThreatFox #1962557</t>
  </si>
  <si>
    <t xml:space="preserve">IOC-075</t>
  </si>
  <si>
    <t xml:space="preserve">121[.]37[.]80[.]227:8084</t>
  </si>
  <si>
    <t xml:space="preserve">ThreatFox #1962558</t>
  </si>
  <si>
    <t xml:space="preserve">IOC-076</t>
  </si>
  <si>
    <t xml:space="preserve">47[.]122[.]111[.]172:443</t>
  </si>
  <si>
    <t xml:space="preserve">ThreatFox #1962707</t>
  </si>
  <si>
    <t xml:space="preserve">IOC-077</t>
  </si>
  <si>
    <t xml:space="preserve">46[.]246[.]6[.]15:5987</t>
  </si>
  <si>
    <t xml:space="preserve">Remcos</t>
  </si>
  <si>
    <t xml:space="preserve">ThreatFox #1962700</t>
  </si>
  <si>
    <t xml:space="preserve">IOC-078</t>
  </si>
  <si>
    <t xml:space="preserve">89[.]32[.]41[.]109:23789</t>
  </si>
  <si>
    <t xml:space="preserve">Potassium</t>
  </si>
  <si>
    <t xml:space="preserve">ThreatFox #1962673</t>
  </si>
  <si>
    <t xml:space="preserve">IOC-079</t>
  </si>
  <si>
    <t xml:space="preserve">89[.]32[.]41[.]146:27651</t>
  </si>
  <si>
    <t xml:space="preserve">ThreatFox #1962674</t>
  </si>
  <si>
    <t xml:space="preserve">IOC-080</t>
  </si>
  <si>
    <t xml:space="preserve">77[.]73[.]20[.]105:2017</t>
  </si>
  <si>
    <t xml:space="preserve">ThreatFox #1962664</t>
  </si>
  <si>
    <t xml:space="preserve">IOC-081</t>
  </si>
  <si>
    <t xml:space="preserve">217[.]60[.]195[.]216:2017</t>
  </si>
  <si>
    <t xml:space="preserve">ThreatFox #1962656</t>
  </si>
  <si>
    <t xml:space="preserve">IOC-082</t>
  </si>
  <si>
    <t xml:space="preserve">192[.]159[.]99[.]168:2404</t>
  </si>
  <si>
    <t xml:space="preserve">ThreatFox #1962655</t>
  </si>
  <si>
    <t xml:space="preserve">IOC-083</t>
  </si>
  <si>
    <t xml:space="preserve">105[.]79[.]81[.]215:6969</t>
  </si>
  <si>
    <t xml:space="preserve">NjRAT</t>
  </si>
  <si>
    <t xml:space="preserve">ThreatFox #1962654</t>
  </si>
  <si>
    <t xml:space="preserve">IOC-084</t>
  </si>
  <si>
    <t xml:space="preserve">192[.]132[.]28[.]37:443</t>
  </si>
  <si>
    <t xml:space="preserve">Nanocore RAT</t>
  </si>
  <si>
    <t xml:space="preserve">ThreatFox #1962653</t>
  </si>
  <si>
    <t xml:space="preserve">IOC-085</t>
  </si>
  <si>
    <t xml:space="preserve">103[.]190[.]36[.]126:443</t>
  </si>
  <si>
    <t xml:space="preserve">ThreatFox #1962652</t>
  </si>
  <si>
    <t xml:space="preserve">IOC-086</t>
  </si>
  <si>
    <t xml:space="preserve">47[.]122[.]111[.]172:80</t>
  </si>
  <si>
    <t xml:space="preserve">ThreatFox #1962630</t>
  </si>
  <si>
    <t xml:space="preserve">IOC-087</t>
  </si>
  <si>
    <t xml:space="preserve">38[.]46[.]15[.]203:8989</t>
  </si>
  <si>
    <t xml:space="preserve">ThreatFox #1962596</t>
  </si>
  <si>
    <t xml:space="preserve">IOC-088</t>
  </si>
  <si>
    <t xml:space="preserve">38[.]46[.]15[.]204:8989</t>
  </si>
  <si>
    <t xml:space="preserve">ThreatFox #1962597</t>
  </si>
  <si>
    <t xml:space="preserve">IOC-089</t>
  </si>
  <si>
    <t xml:space="preserve">206[.]206[.]78[.]76:80</t>
  </si>
  <si>
    <t xml:space="preserve">ThreatFox #1962595</t>
  </si>
  <si>
    <t xml:space="preserve">IOC-090</t>
  </si>
  <si>
    <t xml:space="preserve">139[.]59[.]140[.]128:8080</t>
  </si>
  <si>
    <t xml:space="preserve">ThreatFox #1962503</t>
  </si>
  <si>
    <t xml:space="preserve">IOC-091</t>
  </si>
  <si>
    <t xml:space="preserve">da31eed9460cfdbb985f629672ebcefe5fa17b3ed1ff7bbe304aad13a89c2724</t>
  </si>
  <si>
    <t xml:space="preserve">Unclassified</t>
  </si>
  <si>
    <t xml:space="preserve">MalwareBazaar</t>
  </si>
  <si>
    <t xml:space="preserve">elf sample 'riscv64'; reporter abuse_ch</t>
  </si>
  <si>
    <t xml:space="preserve">IOC-092</t>
  </si>
  <si>
    <t xml:space="preserve">306bb9e9bd325d3a398f577f6666f114c15f9a3a</t>
  </si>
  <si>
    <t xml:space="preserve">File hash (SHA1)</t>
  </si>
  <si>
    <t xml:space="preserve">IOC-093</t>
  </si>
  <si>
    <t xml:space="preserve">034319c22e6486037acf609ce38facab</t>
  </si>
  <si>
    <t xml:space="preserve">File hash (MD5)</t>
  </si>
  <si>
    <t xml:space="preserve">IOC-094</t>
  </si>
  <si>
    <t xml:space="preserve">d0e870e5b1c3455fa111c1a2f23827d5c972542fad51fb8f50e52a0a298013a7</t>
  </si>
  <si>
    <t xml:space="preserve">elf sample 'dissmpsl'; reporter abuse_ch</t>
  </si>
  <si>
    <t xml:space="preserve">IOC-095</t>
  </si>
  <si>
    <t xml:space="preserve">c4c0275d997df8b75c1be17fc890b61b408ee5fe</t>
  </si>
  <si>
    <t xml:space="preserve">IOC-096</t>
  </si>
  <si>
    <t xml:space="preserve">e8f0f86a56fb3624418049eaa442f029</t>
  </si>
  <si>
    <t xml:space="preserve">IOC-097</t>
  </si>
  <si>
    <t xml:space="preserve">2baaf219716c21543de54c9e51802b4e9970ea8bf43bbb01537abe15f4dd7e7d</t>
  </si>
  <si>
    <t xml:space="preserve">RemcosRAT</t>
  </si>
  <si>
    <t xml:space="preserve">T1204.002 - Malicious File</t>
  </si>
  <si>
    <t xml:space="preserve">js sample 'FRA-9055D02-01951630-09-20260001.js'; reporter abuse_ch</t>
  </si>
  <si>
    <t xml:space="preserve">IOC-098</t>
  </si>
  <si>
    <t xml:space="preserve">41194dcbccbd83b6bc8718de780da04b8e560de8</t>
  </si>
  <si>
    <t xml:space="preserve">IOC-099</t>
  </si>
  <si>
    <t xml:space="preserve">dea0b31d6465e75168f9e57bc006fc3f</t>
  </si>
  <si>
    <t xml:space="preserve">IOC-100</t>
  </si>
  <si>
    <t xml:space="preserve">FRA-9055D02-01951630-09-20260001.js</t>
  </si>
  <si>
    <t xml:space="preserve">File name / path</t>
  </si>
  <si>
    <t xml:space="preserve">Monitored</t>
  </si>
  <si>
    <t xml:space="preserve">Lure file name; SHA256 2baaf219716c... - names change easily, use for hunting not blocking</t>
  </si>
  <si>
    <t xml:space="preserve">IOC-101</t>
  </si>
  <si>
    <t xml:space="preserve">205b7f879f9978e39de1b67290e393133b250ad1ba0d7429819fc092b154236b</t>
  </si>
  <si>
    <t xml:space="preserve">elf sample 'adissarm5'; reporter abuse_ch</t>
  </si>
  <si>
    <t xml:space="preserve">IOC-102</t>
  </si>
  <si>
    <t xml:space="preserve">e2e6f7468c52c8c5b2870519298312ad3ad48eed</t>
  </si>
  <si>
    <t xml:space="preserve">IOC-103</t>
  </si>
  <si>
    <t xml:space="preserve">ce4fb5c860d30e8d7d5eafffcee1d608</t>
  </si>
  <si>
    <t xml:space="preserve">IOC-104</t>
  </si>
  <si>
    <t xml:space="preserve">9bef01ecd6613f0fe81424a3fac7734386ebbdb6d69525f4f1b89e553cb4c7af</t>
  </si>
  <si>
    <t xml:space="preserve">exe sample '9bef01ec...c7af.exe'; reporter Kejult</t>
  </si>
  <si>
    <t xml:space="preserve">IOC-105</t>
  </si>
  <si>
    <t xml:space="preserve">d4383b4e10dc53e91abf79a0b0e0a1cf957582c1</t>
  </si>
  <si>
    <t xml:space="preserve">IOC-106</t>
  </si>
  <si>
    <t xml:space="preserve">43d208e58212ce98fa8ef6fefdb0717d</t>
  </si>
  <si>
    <t xml:space="preserve">IOC-107</t>
  </si>
  <si>
    <t xml:space="preserve">6dcd446f89687ecbea2697ca58cb6b3dce7c9a23c65dc119f5e478ff9e01ae83</t>
  </si>
  <si>
    <t xml:space="preserve">elf sample 'disssh4'; reporter abuse_ch</t>
  </si>
  <si>
    <t xml:space="preserve">IOC-108</t>
  </si>
  <si>
    <t xml:space="preserve">d0869d395222df2ec3de51be5540fd0727d2f753</t>
  </si>
  <si>
    <t xml:space="preserve">IOC-109</t>
  </si>
  <si>
    <t xml:space="preserve">a4a9fac0b7f0b14616d9c9f0107cc833</t>
  </si>
  <si>
    <t xml:space="preserve">IOC-110</t>
  </si>
  <si>
    <t xml:space="preserve">c389675ff89cc359799d40d56c1b70e32411adfd5594f2965e16a1074a217cfa</t>
  </si>
  <si>
    <t xml:space="preserve">elf sample 'riscv32'; reporter abuse_ch</t>
  </si>
  <si>
    <t xml:space="preserve">IOC-111</t>
  </si>
  <si>
    <t xml:space="preserve">ca96f624dcf5b7fb6bef56232dfd8c4e78de7009</t>
  </si>
  <si>
    <t xml:space="preserve">IOC-112</t>
  </si>
  <si>
    <t xml:space="preserve">68ef32ccaa444d14e5ebc2ca30c212b4</t>
  </si>
  <si>
    <t xml:space="preserve">IOC-113</t>
  </si>
  <si>
    <t xml:space="preserve">5614e4ebf22b5e0fe9708d7db7b97088d3f85a97f122ef5b973e234dbff2910e</t>
  </si>
  <si>
    <t xml:space="preserve">PhantomStealer</t>
  </si>
  <si>
    <t xml:space="preserve">rar sample 'IMG-20261012-WA000057-20261011_12060081.rar'; reporter smica83</t>
  </si>
  <si>
    <t xml:space="preserve">IOC-114</t>
  </si>
  <si>
    <t xml:space="preserve">5727fbd2b0a2576bc3e845a8df4966b5c1ef8ba2</t>
  </si>
  <si>
    <t xml:space="preserve">IOC-115</t>
  </si>
  <si>
    <t xml:space="preserve">38d1faadea567082c10d6fd1e786a03a</t>
  </si>
  <si>
    <t xml:space="preserve">IOC-116</t>
  </si>
  <si>
    <t xml:space="preserve">IMG-20261012-WA000057-20261011_12060081.rar</t>
  </si>
  <si>
    <t xml:space="preserve">Lure file name; SHA256 5614e4ebf22b... - names change easily, use for hunting not blocking</t>
  </si>
  <si>
    <t xml:space="preserve">IOC-117</t>
  </si>
  <si>
    <t xml:space="preserve">84025cfdc41458df372f199ce64cced15e9925a5b70cfeef77e64bd2df8df07d</t>
  </si>
  <si>
    <t xml:space="preserve">AsyncRAT</t>
  </si>
  <si>
    <t xml:space="preserve">exe sample '84025cfd...f07d.exe'; reporter whack_sh</t>
  </si>
  <si>
    <t xml:space="preserve">IOC-118</t>
  </si>
  <si>
    <t xml:space="preserve">20899eed577b55dce29fbbd95fe73ee5d361e448</t>
  </si>
  <si>
    <t xml:space="preserve">IOC-119</t>
  </si>
  <si>
    <t xml:space="preserve">0bc5588615e54ef6657940e7396b18be</t>
  </si>
  <si>
    <t xml:space="preserve">IOC-120</t>
  </si>
  <si>
    <t xml:space="preserve">d4f80a6f0960b661d314ba41fa3aae2187b4532ecf5c04e31f3700a51639ac7d</t>
  </si>
  <si>
    <t xml:space="preserve">elf sample 's390x'; reporter abuse_ch</t>
  </si>
  <si>
    <t xml:space="preserve">IOC-121</t>
  </si>
  <si>
    <t xml:space="preserve">82c1ed8114287d350e07ae2e8b04353852b73b0c</t>
  </si>
  <si>
    <t xml:space="preserve">IOC-122</t>
  </si>
  <si>
    <t xml:space="preserve">cd169896a328598350e97dd49aaccf50</t>
  </si>
  <si>
    <t xml:space="preserve">IOC-123</t>
  </si>
  <si>
    <t xml:space="preserve">9faf6343befc05411af0870e1382f4fa479b20d7b5df0996733fb8f451739155</t>
  </si>
  <si>
    <t xml:space="preserve">elf sample 'dissmips'; reporter abuse_ch</t>
  </si>
  <si>
    <t xml:space="preserve">IOC-124</t>
  </si>
  <si>
    <t xml:space="preserve">ebfa4072edf109fcd927e80bfdabcc676328376e</t>
  </si>
  <si>
    <t xml:space="preserve">IOC-125</t>
  </si>
  <si>
    <t xml:space="preserve">b8fe5eb52ddc46a5f35bbe2254e3f0cd</t>
  </si>
  <si>
    <t xml:space="preserve">IOC-126</t>
  </si>
  <si>
    <t xml:space="preserve">6be0d87cb44236b11c566bb7914d27c0ef550487d8e42926a8f7331eb76f5f5a</t>
  </si>
  <si>
    <r>
      <rPr>
        <sz val="10"/>
        <rFont val="Arial"/>
        <family val="0"/>
        <charset val="1"/>
      </rPr>
      <t xml:space="preserve">exe sample '0009 0599 </t>
    </r>
    <r>
      <rPr>
        <sz val="10"/>
        <rFont val="Noto Sans CJK SC"/>
        <family val="2"/>
      </rPr>
      <t xml:space="preserve">研華 </t>
    </r>
    <r>
      <rPr>
        <sz val="10"/>
        <rFont val="Arial"/>
        <family val="0"/>
        <charset val="1"/>
      </rPr>
      <t xml:space="preserve">4167635 - </t>
    </r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FLEX-4167635</t>
    </r>
    <r>
      <rPr>
        <sz val="10"/>
        <rFont val="Noto Sans CJK SC"/>
        <family val="2"/>
      </rPr>
      <t xml:space="preserve">】研華出貨 </t>
    </r>
    <r>
      <rPr>
        <sz val="10"/>
        <rFont val="Arial"/>
        <family val="0"/>
        <charset val="1"/>
      </rPr>
      <t xml:space="preserve">AESC by Oct. 16 - ETC 1014 -0009 0599.exe'; reporter threatcat_ch</t>
    </r>
  </si>
  <si>
    <t xml:space="preserve">IOC-127</t>
  </si>
  <si>
    <t xml:space="preserve">b249a5794126d0f00e0a3e48e7df147fe6f2c64b</t>
  </si>
  <si>
    <t xml:space="preserve">IOC-128</t>
  </si>
  <si>
    <t xml:space="preserve">75c3c2a4b1f467eb9e4cd82a1912867d</t>
  </si>
  <si>
    <t xml:space="preserve">IOC-129</t>
  </si>
  <si>
    <r>
      <rPr>
        <sz val="10"/>
        <rFont val="Arial"/>
        <family val="0"/>
        <charset val="1"/>
      </rPr>
      <t xml:space="preserve">0009 0599 </t>
    </r>
    <r>
      <rPr>
        <sz val="10"/>
        <rFont val="Noto Sans CJK SC"/>
        <family val="2"/>
      </rPr>
      <t xml:space="preserve">研華 </t>
    </r>
    <r>
      <rPr>
        <sz val="10"/>
        <rFont val="Arial"/>
        <family val="0"/>
        <charset val="1"/>
      </rPr>
      <t xml:space="preserve">4167635 - </t>
    </r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FLEX-4167635</t>
    </r>
    <r>
      <rPr>
        <sz val="10"/>
        <rFont val="Noto Sans CJK SC"/>
        <family val="2"/>
      </rPr>
      <t xml:space="preserve">】研華出貨 </t>
    </r>
    <r>
      <rPr>
        <sz val="10"/>
        <rFont val="Arial"/>
        <family val="0"/>
        <charset val="1"/>
      </rPr>
      <t xml:space="preserve">AESC by Oct. 16 - ETC 1014 -0009 0599.exe</t>
    </r>
  </si>
  <si>
    <t xml:space="preserve">Lure file name; SHA256 6be0d87cb442... - names change easily, use for hunting not blocking</t>
  </si>
  <si>
    <t xml:space="preserve">IOC-130</t>
  </si>
  <si>
    <t xml:space="preserve">221b235cce5fce944446ca079eb99c3b90767ed773db3624e1860278ef54b5df</t>
  </si>
  <si>
    <t xml:space="preserve">elf sample 'bot_linux_x86_64'; reporter abuse_ch</t>
  </si>
  <si>
    <t xml:space="preserve">IOC-131</t>
  </si>
  <si>
    <t xml:space="preserve">bc8c02b8d62c463549d75428090516a10adf0f7c</t>
  </si>
  <si>
    <t xml:space="preserve">IOC-132</t>
  </si>
  <si>
    <t xml:space="preserve">0acca2c1c80fec92dc754dfb3a6474d8</t>
  </si>
  <si>
    <t xml:space="preserve">IOC-133</t>
  </si>
  <si>
    <t xml:space="preserve">1de78de4302985fba4afe43e16f1d0c18fb6753f541647f3810b90084136cbe7</t>
  </si>
  <si>
    <t xml:space="preserve">IOC-134</t>
  </si>
  <si>
    <t xml:space="preserve">7914b3f91dc2f848d471e8718c6ae58c2e2f27c7</t>
  </si>
  <si>
    <t xml:space="preserve">IOC-135</t>
  </si>
  <si>
    <t xml:space="preserve">032bc535cdc9ff3af66c1e66a703f746</t>
  </si>
  <si>
    <t xml:space="preserve">IOC-136</t>
  </si>
  <si>
    <t xml:space="preserve">27a351d0e801edbef24d976330064635903c3da58f7506b7741830f0dd46aeed</t>
  </si>
  <si>
    <t xml:space="preserve">elf sample 'na'; reporter abuse_ch</t>
  </si>
  <si>
    <t xml:space="preserve">IOC-137</t>
  </si>
  <si>
    <t xml:space="preserve">5497795a75fd6834097795168f7b414c752e940f</t>
  </si>
  <si>
    <t xml:space="preserve">IOC-138</t>
  </si>
  <si>
    <t xml:space="preserve">dee387a9e34adfcea8b2afa5de5c4f71</t>
  </si>
  <si>
    <t xml:space="preserve">IOC-139</t>
  </si>
  <si>
    <t xml:space="preserve">34062e36d964c778b9aa61ecebd0f2e75961b2d771d30cd5b6ffa7d272c372fd</t>
  </si>
  <si>
    <t xml:space="preserve">msi sample 'ADNOC-ITEMS-LIST-FOR-VESSEL-REQUIREMENTS-NFHJ.msi'; reporter abuse_ch</t>
  </si>
  <si>
    <t xml:space="preserve">IOC-140</t>
  </si>
  <si>
    <t xml:space="preserve">93030c0c4996d19601b850e621abe48a3ef49180</t>
  </si>
  <si>
    <t xml:space="preserve">IOC-141</t>
  </si>
  <si>
    <t xml:space="preserve">85e20c76381141fc826f31caf0c6803c</t>
  </si>
  <si>
    <t xml:space="preserve">IOC-142</t>
  </si>
  <si>
    <t xml:space="preserve">ADNOC-ITEMS-LIST-FOR-VESSEL-REQUIREMENTS-NFHJ.msi</t>
  </si>
  <si>
    <t xml:space="preserve">Lure file name; SHA256 34062e36d964... - names change easily, use for hunting not blocking</t>
  </si>
  <si>
    <t xml:space="preserve">IOC-143</t>
  </si>
  <si>
    <t xml:space="preserve">de63dfaf868f4a2a6ff51690af39c7743c225480ea1fff4b2d7a7c466e5761f7</t>
  </si>
  <si>
    <t xml:space="preserve">zip sample 'Loader v2.6.zip'; reporter Ends0uls</t>
  </si>
  <si>
    <t xml:space="preserve">IOC-144</t>
  </si>
  <si>
    <t xml:space="preserve">ea4acfb9efea4f064867f62493591423580d901c</t>
  </si>
  <si>
    <t xml:space="preserve">IOC-145</t>
  </si>
  <si>
    <t xml:space="preserve">7826f0c73202ea10bc6aa8ed48766350</t>
  </si>
  <si>
    <t xml:space="preserve">IOC-146</t>
  </si>
  <si>
    <t xml:space="preserve">Loader v2.6.zip</t>
  </si>
  <si>
    <t xml:space="preserve">Lure file name; SHA256 de63dfaf868f... - names change easily, use for hunting not blocking</t>
  </si>
  <si>
    <t xml:space="preserve">IOC-147</t>
  </si>
  <si>
    <t xml:space="preserve">2ea394c33913bdb06cac96467213c5b860ca80e70df3b846f3602b0f74884b46</t>
  </si>
  <si>
    <t xml:space="preserve">exe sample '2ea394c3...4b46.bin'; reporter anonymous</t>
  </si>
  <si>
    <t xml:space="preserve">IOC-148</t>
  </si>
  <si>
    <t xml:space="preserve">8d996adddf37bb7affe6550d74e477d8cce97650</t>
  </si>
  <si>
    <t xml:space="preserve">IOC-149</t>
  </si>
  <si>
    <t xml:space="preserve">56e1295102477f805aee0fc3e686b912</t>
  </si>
  <si>
    <t xml:space="preserve">IOC-150</t>
  </si>
  <si>
    <t xml:space="preserve">bf22455e356999abb9e1a6ba962d4f76c9c6f0deaafd0d4187fd5b0b031f7fe2</t>
  </si>
  <si>
    <t xml:space="preserve">zip sample '4hwBrr8zBxkw.exe_pw_infected.zip'; reporter Ends0uls</t>
  </si>
  <si>
    <t xml:space="preserve">IOC-151</t>
  </si>
  <si>
    <t xml:space="preserve">5ea6afb8e30f3d20b1e24bf5b0cf619296ee11f7</t>
  </si>
  <si>
    <t xml:space="preserve">IOC-152</t>
  </si>
  <si>
    <t xml:space="preserve">2fd30b41e3560bd72eb5118f801d4d0a</t>
  </si>
  <si>
    <t xml:space="preserve">IOC-153</t>
  </si>
  <si>
    <t xml:space="preserve">4hwBrr8zBxkw.exe_pw_infected.zip</t>
  </si>
  <si>
    <t xml:space="preserve">Lure file name; SHA256 bf22455e3569... - names change easily, use for hunting not blocking</t>
  </si>
  <si>
    <t xml:space="preserve">IOC-154</t>
  </si>
  <si>
    <t xml:space="preserve">16602885d0f879e4477ad54079a8b04f5c163c539ca9c4c26cc33df98925472b</t>
  </si>
  <si>
    <t xml:space="preserve">IOC-155</t>
  </si>
  <si>
    <t xml:space="preserve">dc02aae48baa805527b286fa7934c7b216079382</t>
  </si>
  <si>
    <t xml:space="preserve">IOC-156</t>
  </si>
  <si>
    <t xml:space="preserve">3470b3325425585c27c2d34dc45379bf</t>
  </si>
  <si>
    <t xml:space="preserve">IOC-157</t>
  </si>
  <si>
    <t xml:space="preserve">8d87e9e7076ec05efe85a83510bfbc87bc680216f4c4a6f9f871990eaa7906b7</t>
  </si>
  <si>
    <t xml:space="preserve">elf sample 'disspoor'; reporter abuse_ch</t>
  </si>
  <si>
    <t xml:space="preserve">IOC-158</t>
  </si>
  <si>
    <t xml:space="preserve">7bb525ea91f7c47cf1c36c950813158cd6b8c62f</t>
  </si>
  <si>
    <t xml:space="preserve">IOC-159</t>
  </si>
  <si>
    <t xml:space="preserve">b87e3965dda4529b0138d092688393e2</t>
  </si>
  <si>
    <t xml:space="preserve">IOC-160</t>
  </si>
  <si>
    <t xml:space="preserve">4f3c9112b612349ca18cd3bd4ab6905afff34e4d806f9d38ac4c5e41194712aa</t>
  </si>
  <si>
    <t xml:space="preserve">elf sample 'dissarm6'; reporter abuse_ch</t>
  </si>
  <si>
    <t xml:space="preserve">IOC-161</t>
  </si>
  <si>
    <t xml:space="preserve">25ff152c3db2e9b749a19dd1959e73e55e6f6e04</t>
  </si>
  <si>
    <t xml:space="preserve">IOC-162</t>
  </si>
  <si>
    <t xml:space="preserve">d90efbceef2a6ce3b52bb02d4bbd62d0</t>
  </si>
  <si>
    <t xml:space="preserve">IOC-163</t>
  </si>
  <si>
    <t xml:space="preserve">d1c4adea218def895cf49ddcf5af017ff34921913936e8dac9f3f57c1378dc97</t>
  </si>
  <si>
    <t xml:space="preserve">elf sample 'd1c4adea...dc97.elf'; reporter whack_sh</t>
  </si>
  <si>
    <t xml:space="preserve">IOC-164</t>
  </si>
  <si>
    <t xml:space="preserve">162487fc4629e99099026f3636eb7ff28299e5cd</t>
  </si>
  <si>
    <t xml:space="preserve">IOC-165</t>
  </si>
  <si>
    <t xml:space="preserve">348067ceee64ada537521a93027f5961</t>
  </si>
  <si>
    <t xml:space="preserve">IOC-166</t>
  </si>
  <si>
    <t xml:space="preserve">f609a7e9d21dd807f15dbbc233fd8f2f4ac7e42bad565efbd35c20a16bd9c9af</t>
  </si>
  <si>
    <t xml:space="preserve">elf sample 'f609a7e9...c9af'; reporter qriton</t>
  </si>
  <si>
    <t xml:space="preserve">IOC-167</t>
  </si>
  <si>
    <t xml:space="preserve">20128476df274ddf11ab2071f04bf25d39325b11</t>
  </si>
  <si>
    <t xml:space="preserve">IOC-168</t>
  </si>
  <si>
    <t xml:space="preserve">a1491239a4d334714521e9109ab3b8e8</t>
  </si>
  <si>
    <t xml:space="preserve">IOC-169</t>
  </si>
  <si>
    <t xml:space="preserve">d0e083e7a89074e95a52d9e96576ffe168f5c62940aa2e522abcc14885e953ec</t>
  </si>
  <si>
    <t xml:space="preserve">elf sample 'd0e083e7...53ec'; reporter qriton</t>
  </si>
  <si>
    <t xml:space="preserve">IOC-170</t>
  </si>
  <si>
    <t xml:space="preserve">3eb5c0d758f5f55c66d29326a7833f174a0d4141</t>
  </si>
  <si>
    <t xml:space="preserve">IOC-171</t>
  </si>
  <si>
    <t xml:space="preserve">ec4786b861da1376ed79660ed0b016e9</t>
  </si>
  <si>
    <t xml:space="preserve">IOC-172</t>
  </si>
  <si>
    <t xml:space="preserve">162[.]243[.]103[.]246:8080</t>
  </si>
  <si>
    <t xml:space="preserve">Emotet</t>
  </si>
  <si>
    <t xml:space="preserve">Feodo Tracker</t>
  </si>
  <si>
    <t xml:space="preserve">Botnet C2, feed status 'offline'; last online 2026-03-07 - stale, IP may be reassigned</t>
  </si>
  <si>
    <t xml:space="preserve">IOC-173</t>
  </si>
  <si>
    <t xml:space="preserve">50[.]16[.]16[.]211:443</t>
  </si>
  <si>
    <t xml:space="preserve">QakBot</t>
  </si>
  <si>
    <t xml:space="preserve">Botnet C2, feed status 'online'; last online 2026-03-12 - stale, IP may be reassigned</t>
  </si>
  <si>
    <t xml:space="preserve">IOC-174</t>
  </si>
  <si>
    <t xml:space="preserve">34[.]204[.]119[.]63:443</t>
  </si>
  <si>
    <t xml:space="preserve">Botnet C2, feed status 'offline'; last online 2026-03-01 - stale, IP may be reassigned</t>
  </si>
  <si>
    <t xml:space="preserve">IOC-175</t>
  </si>
  <si>
    <t xml:space="preserve">178[.]62[.]3[.]223:443</t>
  </si>
  <si>
    <t xml:space="preserve">Botnet C2, feed status 'offline'; last online 2026-02-18 - stale, IP may be reassigned</t>
  </si>
  <si>
    <t xml:space="preserve">IOC-176</t>
  </si>
  <si>
    <t xml:space="preserve">27[.]133[.]154[.]218:443</t>
  </si>
  <si>
    <t xml:space="preserve">Botnet C2, feed status 'offline'; last online 2026-03-05 - stale, IP may be reassigned</t>
  </si>
  <si>
    <t xml:space="preserve">IOC Summary</t>
  </si>
  <si>
    <t xml:space="preserve">Total IOCs</t>
  </si>
  <si>
    <t xml:space="preserve">Active</t>
  </si>
  <si>
    <t xml:space="preserve">Expired (needs review)</t>
  </si>
  <si>
    <t xml:space="preserve">Critical severity</t>
  </si>
  <si>
    <t xml:space="preserve">High confidence</t>
  </si>
  <si>
    <t xml:space="preserve">Blocked</t>
  </si>
  <si>
    <t xml:space="preserve">Count by IOC Type</t>
  </si>
  <si>
    <t xml:space="preserve">Email address</t>
  </si>
  <si>
    <t xml:space="preserve">Email subject / attachment</t>
  </si>
  <si>
    <t xml:space="preserve">Registry key</t>
  </si>
  <si>
    <t xml:space="preserve">Mutex</t>
  </si>
  <si>
    <t xml:space="preserve">User-agent string</t>
  </si>
  <si>
    <t xml:space="preserve">JA3/JA4 fingerprint</t>
  </si>
  <si>
    <t xml:space="preserve">SSL certificate hash</t>
  </si>
  <si>
    <t xml:space="preserve">ASN</t>
  </si>
  <si>
    <t xml:space="preserve">Crypto wallet</t>
  </si>
  <si>
    <t xml:space="preserve">Types showing 0 (email, registry, mutex, user-agent, JA3/JA4, SSL cert, ASN, crypto wallet) are not published in these free bulk feeds. They come from malware sandbox reports, phishing analysis, CISA/CERT-In advisories and your own incidents.</t>
  </si>
  <si>
    <t xml:space="preserve">Feed data pulled 2026-10-13. IP and URL indicators go stale within days to weeks; re-pull before relying on them.</t>
  </si>
  <si>
    <t xml:space="preserve">Critical</t>
  </si>
  <si>
    <t xml:space="preserve">Ignored</t>
  </si>
  <si>
    <t xml:space="preserve">Expired</t>
  </si>
  <si>
    <t xml:space="preserve">Example (safe placeholder)</t>
  </si>
  <si>
    <t xml:space="preserve">203.0.113[.]45</t>
  </si>
  <si>
    <t xml:space="preserve">C2 servers, scanners, exfiltration endpoints</t>
  </si>
  <si>
    <t xml:space="preserve">update-check[.]example[.]com</t>
  </si>
  <si>
    <t xml:space="preserve">Phishing, C2, malware delivery</t>
  </si>
  <si>
    <t xml:space="preserve">hxxp://198.51.100[.]7/payload.exe</t>
  </si>
  <si>
    <t xml:space="preserve">Specific malicious paths</t>
  </si>
  <si>
    <t xml:space="preserve">d41d8cd98f00b204e9800998ecf8427e</t>
  </si>
  <si>
    <t xml:space="preserve">Fast but weak - prefer SHA256</t>
  </si>
  <si>
    <t xml:space="preserve">da39a3ee5e6b4b0d3255bfef95601890afd80709</t>
  </si>
  <si>
    <t xml:space="preserve">Legacy matching</t>
  </si>
  <si>
    <t xml:space="preserve">e3b0c44298fc1c149afbf4c8996fb92427ae41e4649b934ca495991b7852b855</t>
  </si>
  <si>
    <t xml:space="preserve">Standard for malware identification</t>
  </si>
  <si>
    <t xml:space="preserve">billing@invoice-secure[.]example</t>
  </si>
  <si>
    <t xml:space="preserve">Phishing senders</t>
  </si>
  <si>
    <t xml:space="preserve">Invoice_Overdue.zip</t>
  </si>
  <si>
    <t xml:space="preserve">Phishing campaigns</t>
  </si>
  <si>
    <t xml:space="preserve">C:\Users\Public\svchost32.exe</t>
  </si>
  <si>
    <t xml:space="preserve">Masquerading binaries</t>
  </si>
  <si>
    <t xml:space="preserve">HKCU\Software\Microsoft\Windows\CurrentVersion\Run\Updater</t>
  </si>
  <si>
    <t xml:space="preserve">Persistence</t>
  </si>
  <si>
    <t xml:space="preserve">Global\XyZ_mtx_01</t>
  </si>
  <si>
    <t xml:space="preserve">Malware-specific markers</t>
  </si>
  <si>
    <t xml:space="preserve">Unusual or hardcoded browser strings</t>
  </si>
  <si>
    <t xml:space="preserve">C2 beaconing</t>
  </si>
  <si>
    <t xml:space="preserve">TLS client fingerprint hash</t>
  </si>
  <si>
    <t xml:space="preserve">Detecting malware TLS traffic</t>
  </si>
  <si>
    <t xml:space="preserve">Certificate SHA1</t>
  </si>
  <si>
    <t xml:space="preserve">Self-signed C2 certificates</t>
  </si>
  <si>
    <t xml:space="preserve">AS64500</t>
  </si>
  <si>
    <t xml:space="preserve">Bulletproof hosting ranges</t>
  </si>
  <si>
    <t xml:space="preserve">Wallet address</t>
  </si>
  <si>
    <t xml:space="preserve">Ransomware payments</t>
  </si>
  <si>
    <t xml:space="preserve">All examples use reserved documentation ranges (RFC 5737 IPs, RFC 5398 ASNs, example.com) or empty-input hashes. They are safe placeholders, not real threats.</t>
  </si>
  <si>
    <t xml:space="preserve">Provides</t>
  </si>
  <si>
    <t xml:space="preserve">abuse.ch MalwareBazaar</t>
  </si>
  <si>
    <t xml:space="preserve">Malware file hashes</t>
  </si>
  <si>
    <t xml:space="preserve">https://bazaar.abuse.ch</t>
  </si>
  <si>
    <t xml:space="preserve">abuse.ch URLhaus</t>
  </si>
  <si>
    <t xml:space="preserve">Malicious URLs</t>
  </si>
  <si>
    <t xml:space="preserve">https://urlhaus.abuse.ch</t>
  </si>
  <si>
    <t xml:space="preserve">abuse.ch ThreatFox</t>
  </si>
  <si>
    <t xml:space="preserve">Mixed IOCs (IPs, domains, hashes)</t>
  </si>
  <si>
    <t xml:space="preserve">https://threatfox.abuse.ch</t>
  </si>
  <si>
    <t xml:space="preserve">abuse.ch Feodo Tracker</t>
  </si>
  <si>
    <t xml:space="preserve">Botnet C2 IPs</t>
  </si>
  <si>
    <t xml:space="preserve">https://feodotracker.abuse.ch</t>
  </si>
  <si>
    <t xml:space="preserve">AlienVault OTX</t>
  </si>
  <si>
    <t xml:space="preserve">Community IOC 'pulses' by campaign</t>
  </si>
  <si>
    <t xml:space="preserve">https://otx.alienvault.com</t>
  </si>
  <si>
    <t xml:space="preserve">CISA Advisories (US)</t>
  </si>
  <si>
    <t xml:space="preserve">IOCs attached to official alerts</t>
  </si>
  <si>
    <t xml:space="preserve">https://www.cisa.gov/news-events/cybersecurity-advisories</t>
  </si>
  <si>
    <t xml:space="preserve">CERT-In (India)</t>
  </si>
  <si>
    <t xml:space="preserve">Indian national CERT advisories</t>
  </si>
  <si>
    <t xml:space="preserve">https://www.cert-in.org.in</t>
  </si>
  <si>
    <t xml:space="preserve">MISP</t>
  </si>
  <si>
    <t xml:space="preserve">Threat-intel sharing platform and feeds</t>
  </si>
  <si>
    <t xml:space="preserve">https://www.misp-project.org</t>
  </si>
  <si>
    <t xml:space="preserve">VirusTotal</t>
  </si>
  <si>
    <t xml:space="preserve">Check hashes, domains, IPs</t>
  </si>
  <si>
    <t xml:space="preserve">https://www.virustotal.com</t>
  </si>
  <si>
    <t xml:space="preserve">Spamhaus DROP</t>
  </si>
  <si>
    <t xml:space="preserve">Malicious IP ranges</t>
  </si>
  <si>
    <t xml:space="preserve">https://www.spamhaus.org/blocklists/do-not-route-or-peer/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</si>
</sst>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reatfox.abuse.ch/ioc/1963079/" TargetMode="External"/><Relationship Id="rId2" Type="http://schemas.openxmlformats.org/officeDocument/2006/relationships/hyperlink" Target="https://threatfox.abuse.ch/ioc/1963078/" TargetMode="External"/><Relationship Id="rId3" Type="http://schemas.openxmlformats.org/officeDocument/2006/relationships/hyperlink" Target="https://threatfox.abuse.ch/ioc/1963077/" TargetMode="External"/><Relationship Id="rId4" Type="http://schemas.openxmlformats.org/officeDocument/2006/relationships/hyperlink" Target="https://threatfox.abuse.ch/ioc/1963076/" TargetMode="External"/><Relationship Id="rId5" Type="http://schemas.openxmlformats.org/officeDocument/2006/relationships/hyperlink" Target="https://threatfox.abuse.ch/ioc/1963075/" TargetMode="External"/><Relationship Id="rId6" Type="http://schemas.openxmlformats.org/officeDocument/2006/relationships/hyperlink" Target="https://threatfox.abuse.ch/ioc/1963074/" TargetMode="External"/><Relationship Id="rId7" Type="http://schemas.openxmlformats.org/officeDocument/2006/relationships/hyperlink" Target="https://threatfox.abuse.ch/ioc/1963073/" TargetMode="External"/><Relationship Id="rId8" Type="http://schemas.openxmlformats.org/officeDocument/2006/relationships/hyperlink" Target="https://threatfox.abuse.ch/ioc/1963072/" TargetMode="External"/><Relationship Id="rId9" Type="http://schemas.openxmlformats.org/officeDocument/2006/relationships/hyperlink" Target="https://threatfox.abuse.ch/ioc/1963071/" TargetMode="External"/><Relationship Id="rId10" Type="http://schemas.openxmlformats.org/officeDocument/2006/relationships/hyperlink" Target="https://threatfox.abuse.ch/ioc/1963070/" TargetMode="External"/><Relationship Id="rId11" Type="http://schemas.openxmlformats.org/officeDocument/2006/relationships/hyperlink" Target="https://threatfox.abuse.ch/ioc/1963069/" TargetMode="External"/><Relationship Id="rId12" Type="http://schemas.openxmlformats.org/officeDocument/2006/relationships/hyperlink" Target="https://threatfox.abuse.ch/ioc/1963068/" TargetMode="External"/><Relationship Id="rId13" Type="http://schemas.openxmlformats.org/officeDocument/2006/relationships/hyperlink" Target="https://threatfox.abuse.ch/ioc/1963067/" TargetMode="External"/><Relationship Id="rId14" Type="http://schemas.openxmlformats.org/officeDocument/2006/relationships/hyperlink" Target="https://threatfox.abuse.ch/ioc/1963066/" TargetMode="External"/><Relationship Id="rId15" Type="http://schemas.openxmlformats.org/officeDocument/2006/relationships/hyperlink" Target="https://threatfox.abuse.ch/ioc/1963065/" TargetMode="External"/><Relationship Id="rId16" Type="http://schemas.openxmlformats.org/officeDocument/2006/relationships/hyperlink" Target="https://threatfox.abuse.ch/ioc/1963064/" TargetMode="External"/><Relationship Id="rId17" Type="http://schemas.openxmlformats.org/officeDocument/2006/relationships/hyperlink" Target="https://threatfox.abuse.ch/ioc/1963063/" TargetMode="External"/><Relationship Id="rId18" Type="http://schemas.openxmlformats.org/officeDocument/2006/relationships/hyperlink" Target="https://threatfox.abuse.ch/ioc/1963062/" TargetMode="External"/><Relationship Id="rId19" Type="http://schemas.openxmlformats.org/officeDocument/2006/relationships/hyperlink" Target="https://threatfox.abuse.ch/ioc/1963061/" TargetMode="External"/><Relationship Id="rId20" Type="http://schemas.openxmlformats.org/officeDocument/2006/relationships/hyperlink" Target="https://threatfox.abuse.ch/ioc/1963060/" TargetMode="External"/><Relationship Id="rId21" Type="http://schemas.openxmlformats.org/officeDocument/2006/relationships/hyperlink" Target="https://threatfox.abuse.ch/ioc/1963059/" TargetMode="External"/><Relationship Id="rId22" Type="http://schemas.openxmlformats.org/officeDocument/2006/relationships/hyperlink" Target="https://threatfox.abuse.ch/ioc/1963058/" TargetMode="External"/><Relationship Id="rId23" Type="http://schemas.openxmlformats.org/officeDocument/2006/relationships/hyperlink" Target="https://threatfox.abuse.ch/ioc/1963057/" TargetMode="External"/><Relationship Id="rId24" Type="http://schemas.openxmlformats.org/officeDocument/2006/relationships/hyperlink" Target="https://threatfox.abuse.ch/ioc/1963056/" TargetMode="External"/><Relationship Id="rId25" Type="http://schemas.openxmlformats.org/officeDocument/2006/relationships/hyperlink" Target="https://threatfox.abuse.ch/ioc/1963055/" TargetMode="External"/><Relationship Id="rId26" Type="http://schemas.openxmlformats.org/officeDocument/2006/relationships/hyperlink" Target="https://threatfox.abuse.ch/ioc/1963054/" TargetMode="External"/><Relationship Id="rId27" Type="http://schemas.openxmlformats.org/officeDocument/2006/relationships/hyperlink" Target="https://threatfox.abuse.ch/ioc/1963053/" TargetMode="External"/><Relationship Id="rId28" Type="http://schemas.openxmlformats.org/officeDocument/2006/relationships/hyperlink" Target="https://threatfox.abuse.ch/ioc/1963052/" TargetMode="External"/><Relationship Id="rId29" Type="http://schemas.openxmlformats.org/officeDocument/2006/relationships/hyperlink" Target="https://threatfox.abuse.ch/ioc/1963051/" TargetMode="External"/><Relationship Id="rId30" Type="http://schemas.openxmlformats.org/officeDocument/2006/relationships/hyperlink" Target="https://threatfox.abuse.ch/ioc/1963050/" TargetMode="External"/><Relationship Id="rId31" Type="http://schemas.openxmlformats.org/officeDocument/2006/relationships/hyperlink" Target="https://threatfox.abuse.ch/ioc/1963049/" TargetMode="External"/><Relationship Id="rId32" Type="http://schemas.openxmlformats.org/officeDocument/2006/relationships/hyperlink" Target="https://threatfox.abuse.ch/ioc/1963048/" TargetMode="External"/><Relationship Id="rId33" Type="http://schemas.openxmlformats.org/officeDocument/2006/relationships/hyperlink" Target="https://threatfox.abuse.ch/ioc/1963047/" TargetMode="External"/><Relationship Id="rId34" Type="http://schemas.openxmlformats.org/officeDocument/2006/relationships/hyperlink" Target="https://threatfox.abuse.ch/ioc/1963046/" TargetMode="External"/><Relationship Id="rId35" Type="http://schemas.openxmlformats.org/officeDocument/2006/relationships/hyperlink" Target="https://threatfox.abuse.ch/ioc/1963045/" TargetMode="External"/><Relationship Id="rId36" Type="http://schemas.openxmlformats.org/officeDocument/2006/relationships/hyperlink" Target="https://threatfox.abuse.ch/ioc/1963044/" TargetMode="External"/><Relationship Id="rId37" Type="http://schemas.openxmlformats.org/officeDocument/2006/relationships/hyperlink" Target="https://threatfox.abuse.ch/ioc/1963043/" TargetMode="External"/><Relationship Id="rId38" Type="http://schemas.openxmlformats.org/officeDocument/2006/relationships/hyperlink" Target="https://threatfox.abuse.ch/ioc/1963042/" TargetMode="External"/><Relationship Id="rId39" Type="http://schemas.openxmlformats.org/officeDocument/2006/relationships/hyperlink" Target="https://threatfox.abuse.ch/ioc/1963041/" TargetMode="External"/><Relationship Id="rId40" Type="http://schemas.openxmlformats.org/officeDocument/2006/relationships/hyperlink" Target="https://threatfox.abuse.ch/ioc/1963040/" TargetMode="External"/><Relationship Id="rId41" Type="http://schemas.openxmlformats.org/officeDocument/2006/relationships/hyperlink" Target="https://threatfox.abuse.ch/ioc/1963039/" TargetMode="External"/><Relationship Id="rId42" Type="http://schemas.openxmlformats.org/officeDocument/2006/relationships/hyperlink" Target="https://threatfox.abuse.ch/ioc/1963038/" TargetMode="External"/><Relationship Id="rId43" Type="http://schemas.openxmlformats.org/officeDocument/2006/relationships/hyperlink" Target="https://threatfox.abuse.ch/ioc/1963037/" TargetMode="External"/><Relationship Id="rId44" Type="http://schemas.openxmlformats.org/officeDocument/2006/relationships/hyperlink" Target="https://threatfox.abuse.ch/ioc/1963036/" TargetMode="External"/><Relationship Id="rId45" Type="http://schemas.openxmlformats.org/officeDocument/2006/relationships/hyperlink" Target="https://threatfox.abuse.ch/ioc/1963035/" TargetMode="External"/><Relationship Id="rId46" Type="http://schemas.openxmlformats.org/officeDocument/2006/relationships/hyperlink" Target="https://threatfox.abuse.ch/ioc/1963034/" TargetMode="External"/><Relationship Id="rId47" Type="http://schemas.openxmlformats.org/officeDocument/2006/relationships/hyperlink" Target="https://threatfox.abuse.ch/ioc/1963033/" TargetMode="External"/><Relationship Id="rId48" Type="http://schemas.openxmlformats.org/officeDocument/2006/relationships/hyperlink" Target="https://threatfox.abuse.ch/ioc/1963032/" TargetMode="External"/><Relationship Id="rId49" Type="http://schemas.openxmlformats.org/officeDocument/2006/relationships/hyperlink" Target="https://threatfox.abuse.ch/ioc/1963031/" TargetMode="External"/><Relationship Id="rId50" Type="http://schemas.openxmlformats.org/officeDocument/2006/relationships/hyperlink" Target="https://threatfox.abuse.ch/ioc/1963030/" TargetMode="External"/><Relationship Id="rId51" Type="http://schemas.openxmlformats.org/officeDocument/2006/relationships/hyperlink" Target="https://threatfox.abuse.ch/ioc/1963028/" TargetMode="External"/><Relationship Id="rId52" Type="http://schemas.openxmlformats.org/officeDocument/2006/relationships/hyperlink" Target="https://threatfox.abuse.ch/ioc/1963027/" TargetMode="External"/><Relationship Id="rId53" Type="http://schemas.openxmlformats.org/officeDocument/2006/relationships/hyperlink" Target="https://threatfox.abuse.ch/ioc/1963026/" TargetMode="External"/><Relationship Id="rId54" Type="http://schemas.openxmlformats.org/officeDocument/2006/relationships/hyperlink" Target="https://threatfox.abuse.ch/ioc/1963025/" TargetMode="External"/><Relationship Id="rId55" Type="http://schemas.openxmlformats.org/officeDocument/2006/relationships/hyperlink" Target="https://threatfox.abuse.ch/ioc/1963024/" TargetMode="External"/><Relationship Id="rId56" Type="http://schemas.openxmlformats.org/officeDocument/2006/relationships/hyperlink" Target="https://threatfox.abuse.ch/ioc/1963023/" TargetMode="External"/><Relationship Id="rId57" Type="http://schemas.openxmlformats.org/officeDocument/2006/relationships/hyperlink" Target="https://threatfox.abuse.ch/ioc/1963022/" TargetMode="External"/><Relationship Id="rId58" Type="http://schemas.openxmlformats.org/officeDocument/2006/relationships/hyperlink" Target="https://threatfox.abuse.ch/ioc/1963021/" TargetMode="External"/><Relationship Id="rId59" Type="http://schemas.openxmlformats.org/officeDocument/2006/relationships/hyperlink" Target="https://threatfox.abuse.ch/ioc/1963020/" TargetMode="External"/><Relationship Id="rId60" Type="http://schemas.openxmlformats.org/officeDocument/2006/relationships/hyperlink" Target="https://threatfox.abuse.ch/ioc/1963019/" TargetMode="External"/><Relationship Id="rId61" Type="http://schemas.openxmlformats.org/officeDocument/2006/relationships/hyperlink" Target="https://threatfox.abuse.ch/ioc/1962805/" TargetMode="External"/><Relationship Id="rId62" Type="http://schemas.openxmlformats.org/officeDocument/2006/relationships/hyperlink" Target="https://threatfox.abuse.ch/ioc/1962785/" TargetMode="External"/><Relationship Id="rId63" Type="http://schemas.openxmlformats.org/officeDocument/2006/relationships/hyperlink" Target="https://threatfox.abuse.ch/ioc/1962784/" TargetMode="External"/><Relationship Id="rId64" Type="http://schemas.openxmlformats.org/officeDocument/2006/relationships/hyperlink" Target="https://threatfox.abuse.ch/ioc/1962747/" TargetMode="External"/><Relationship Id="rId65" Type="http://schemas.openxmlformats.org/officeDocument/2006/relationships/hyperlink" Target="https://threatfox.abuse.ch/ioc/1962745/" TargetMode="External"/><Relationship Id="rId66" Type="http://schemas.openxmlformats.org/officeDocument/2006/relationships/hyperlink" Target="https://threatfox.abuse.ch/ioc/1962721/" TargetMode="External"/><Relationship Id="rId67" Type="http://schemas.openxmlformats.org/officeDocument/2006/relationships/hyperlink" Target="https://threatfox.abuse.ch/ioc/1962067/" TargetMode="External"/><Relationship Id="rId68" Type="http://schemas.openxmlformats.org/officeDocument/2006/relationships/hyperlink" Target="https://threatfox.abuse.ch/ioc/1962438/" TargetMode="External"/><Relationship Id="rId69" Type="http://schemas.openxmlformats.org/officeDocument/2006/relationships/hyperlink" Target="https://threatfox.abuse.ch/ioc/1962514/" TargetMode="External"/><Relationship Id="rId70" Type="http://schemas.openxmlformats.org/officeDocument/2006/relationships/hyperlink" Target="https://threatfox.abuse.ch/ioc/1962553/" TargetMode="External"/><Relationship Id="rId71" Type="http://schemas.openxmlformats.org/officeDocument/2006/relationships/hyperlink" Target="https://threatfox.abuse.ch/ioc/1962554/" TargetMode="External"/><Relationship Id="rId72" Type="http://schemas.openxmlformats.org/officeDocument/2006/relationships/hyperlink" Target="https://threatfox.abuse.ch/ioc/1962555/" TargetMode="External"/><Relationship Id="rId73" Type="http://schemas.openxmlformats.org/officeDocument/2006/relationships/hyperlink" Target="https://threatfox.abuse.ch/ioc/1962556/" TargetMode="External"/><Relationship Id="rId74" Type="http://schemas.openxmlformats.org/officeDocument/2006/relationships/hyperlink" Target="https://threatfox.abuse.ch/ioc/1962557/" TargetMode="External"/><Relationship Id="rId75" Type="http://schemas.openxmlformats.org/officeDocument/2006/relationships/hyperlink" Target="https://threatfox.abuse.ch/ioc/1962558/" TargetMode="External"/><Relationship Id="rId76" Type="http://schemas.openxmlformats.org/officeDocument/2006/relationships/hyperlink" Target="https://threatfox.abuse.ch/ioc/1962707/" TargetMode="External"/><Relationship Id="rId77" Type="http://schemas.openxmlformats.org/officeDocument/2006/relationships/hyperlink" Target="https://threatfox.abuse.ch/ioc/1962700/" TargetMode="External"/><Relationship Id="rId78" Type="http://schemas.openxmlformats.org/officeDocument/2006/relationships/hyperlink" Target="https://threatfox.abuse.ch/ioc/1962673/" TargetMode="External"/><Relationship Id="rId79" Type="http://schemas.openxmlformats.org/officeDocument/2006/relationships/hyperlink" Target="https://threatfox.abuse.ch/ioc/1962674/" TargetMode="External"/><Relationship Id="rId80" Type="http://schemas.openxmlformats.org/officeDocument/2006/relationships/hyperlink" Target="https://threatfox.abuse.ch/ioc/1962664/" TargetMode="External"/><Relationship Id="rId81" Type="http://schemas.openxmlformats.org/officeDocument/2006/relationships/hyperlink" Target="https://threatfox.abuse.ch/ioc/1962656/" TargetMode="External"/><Relationship Id="rId82" Type="http://schemas.openxmlformats.org/officeDocument/2006/relationships/hyperlink" Target="https://threatfox.abuse.ch/ioc/1962655/" TargetMode="External"/><Relationship Id="rId83" Type="http://schemas.openxmlformats.org/officeDocument/2006/relationships/hyperlink" Target="https://threatfox.abuse.ch/ioc/1962654/" TargetMode="External"/><Relationship Id="rId84" Type="http://schemas.openxmlformats.org/officeDocument/2006/relationships/hyperlink" Target="https://threatfox.abuse.ch/ioc/1962653/" TargetMode="External"/><Relationship Id="rId85" Type="http://schemas.openxmlformats.org/officeDocument/2006/relationships/hyperlink" Target="https://threatfox.abuse.ch/ioc/1962652/" TargetMode="External"/><Relationship Id="rId86" Type="http://schemas.openxmlformats.org/officeDocument/2006/relationships/hyperlink" Target="https://threatfox.abuse.ch/ioc/1962630/" TargetMode="External"/><Relationship Id="rId87" Type="http://schemas.openxmlformats.org/officeDocument/2006/relationships/hyperlink" Target="https://threatfox.abuse.ch/ioc/1962596/" TargetMode="External"/><Relationship Id="rId88" Type="http://schemas.openxmlformats.org/officeDocument/2006/relationships/hyperlink" Target="https://threatfox.abuse.ch/ioc/1962597/" TargetMode="External"/><Relationship Id="rId89" Type="http://schemas.openxmlformats.org/officeDocument/2006/relationships/hyperlink" Target="https://threatfox.abuse.ch/ioc/1962595/" TargetMode="External"/><Relationship Id="rId90" Type="http://schemas.openxmlformats.org/officeDocument/2006/relationships/hyperlink" Target="https://threatfox.abuse.ch/ioc/1962503/" TargetMode="External"/><Relationship Id="rId91" Type="http://schemas.openxmlformats.org/officeDocument/2006/relationships/hyperlink" Target="https://bazaar.abuse.ch/sample/da31eed9460cfdbb985f629672ebcefe5fa17b3ed1ff7bbe304aad13a89c2724/" TargetMode="External"/><Relationship Id="rId92" Type="http://schemas.openxmlformats.org/officeDocument/2006/relationships/hyperlink" Target="https://bazaar.abuse.ch/sample/da31eed9460cfdbb985f629672ebcefe5fa17b3ed1ff7bbe304aad13a89c2724/" TargetMode="External"/><Relationship Id="rId93" Type="http://schemas.openxmlformats.org/officeDocument/2006/relationships/hyperlink" Target="https://bazaar.abuse.ch/sample/da31eed9460cfdbb985f629672ebcefe5fa17b3ed1ff7bbe304aad13a89c2724/" TargetMode="External"/><Relationship Id="rId94" Type="http://schemas.openxmlformats.org/officeDocument/2006/relationships/hyperlink" Target="https://bazaar.abuse.ch/sample/d0e870e5b1c3455fa111c1a2f23827d5c972542fad51fb8f50e52a0a298013a7/" TargetMode="External"/><Relationship Id="rId95" Type="http://schemas.openxmlformats.org/officeDocument/2006/relationships/hyperlink" Target="https://bazaar.abuse.ch/sample/d0e870e5b1c3455fa111c1a2f23827d5c972542fad51fb8f50e52a0a298013a7/" TargetMode="External"/><Relationship Id="rId96" Type="http://schemas.openxmlformats.org/officeDocument/2006/relationships/hyperlink" Target="https://bazaar.abuse.ch/sample/d0e870e5b1c3455fa111c1a2f23827d5c972542fad51fb8f50e52a0a298013a7/" TargetMode="External"/><Relationship Id="rId97" Type="http://schemas.openxmlformats.org/officeDocument/2006/relationships/hyperlink" Target="https://bazaar.abuse.ch/sample/2baaf219716c21543de54c9e51802b4e9970ea8bf43bbb01537abe15f4dd7e7d/" TargetMode="External"/><Relationship Id="rId98" Type="http://schemas.openxmlformats.org/officeDocument/2006/relationships/hyperlink" Target="https://bazaar.abuse.ch/sample/2baaf219716c21543de54c9e51802b4e9970ea8bf43bbb01537abe15f4dd7e7d/" TargetMode="External"/><Relationship Id="rId99" Type="http://schemas.openxmlformats.org/officeDocument/2006/relationships/hyperlink" Target="https://bazaar.abuse.ch/sample/2baaf219716c21543de54c9e51802b4e9970ea8bf43bbb01537abe15f4dd7e7d/" TargetMode="External"/><Relationship Id="rId100" Type="http://schemas.openxmlformats.org/officeDocument/2006/relationships/hyperlink" Target="https://bazaar.abuse.ch/sample/2baaf219716c21543de54c9e51802b4e9970ea8bf43bbb01537abe15f4dd7e7d/" TargetMode="External"/><Relationship Id="rId101" Type="http://schemas.openxmlformats.org/officeDocument/2006/relationships/hyperlink" Target="https://bazaar.abuse.ch/sample/205b7f879f9978e39de1b67290e393133b250ad1ba0d7429819fc092b154236b/" TargetMode="External"/><Relationship Id="rId102" Type="http://schemas.openxmlformats.org/officeDocument/2006/relationships/hyperlink" Target="https://bazaar.abuse.ch/sample/205b7f879f9978e39de1b67290e393133b250ad1ba0d7429819fc092b154236b/" TargetMode="External"/><Relationship Id="rId103" Type="http://schemas.openxmlformats.org/officeDocument/2006/relationships/hyperlink" Target="https://bazaar.abuse.ch/sample/205b7f879f9978e39de1b67290e393133b250ad1ba0d7429819fc092b154236b/" TargetMode="External"/><Relationship Id="rId104" Type="http://schemas.openxmlformats.org/officeDocument/2006/relationships/hyperlink" Target="https://bazaar.abuse.ch/sample/9bef01ecd6613f0fe81424a3fac7734386ebbdb6d69525f4f1b89e553cb4c7af/" TargetMode="External"/><Relationship Id="rId105" Type="http://schemas.openxmlformats.org/officeDocument/2006/relationships/hyperlink" Target="https://bazaar.abuse.ch/sample/9bef01ecd6613f0fe81424a3fac7734386ebbdb6d69525f4f1b89e553cb4c7af/" TargetMode="External"/><Relationship Id="rId106" Type="http://schemas.openxmlformats.org/officeDocument/2006/relationships/hyperlink" Target="https://bazaar.abuse.ch/sample/9bef01ecd6613f0fe81424a3fac7734386ebbdb6d69525f4f1b89e553cb4c7af/" TargetMode="External"/><Relationship Id="rId107" Type="http://schemas.openxmlformats.org/officeDocument/2006/relationships/hyperlink" Target="https://bazaar.abuse.ch/sample/6dcd446f89687ecbea2697ca58cb6b3dce7c9a23c65dc119f5e478ff9e01ae83/" TargetMode="External"/><Relationship Id="rId108" Type="http://schemas.openxmlformats.org/officeDocument/2006/relationships/hyperlink" Target="https://bazaar.abuse.ch/sample/6dcd446f89687ecbea2697ca58cb6b3dce7c9a23c65dc119f5e478ff9e01ae83/" TargetMode="External"/><Relationship Id="rId109" Type="http://schemas.openxmlformats.org/officeDocument/2006/relationships/hyperlink" Target="https://bazaar.abuse.ch/sample/6dcd446f89687ecbea2697ca58cb6b3dce7c9a23c65dc119f5e478ff9e01ae83/" TargetMode="External"/><Relationship Id="rId110" Type="http://schemas.openxmlformats.org/officeDocument/2006/relationships/hyperlink" Target="https://bazaar.abuse.ch/sample/c389675ff89cc359799d40d56c1b70e32411adfd5594f2965e16a1074a217cfa/" TargetMode="External"/><Relationship Id="rId111" Type="http://schemas.openxmlformats.org/officeDocument/2006/relationships/hyperlink" Target="https://bazaar.abuse.ch/sample/c389675ff89cc359799d40d56c1b70e32411adfd5594f2965e16a1074a217cfa/" TargetMode="External"/><Relationship Id="rId112" Type="http://schemas.openxmlformats.org/officeDocument/2006/relationships/hyperlink" Target="https://bazaar.abuse.ch/sample/c389675ff89cc359799d40d56c1b70e32411adfd5594f2965e16a1074a217cfa/" TargetMode="External"/><Relationship Id="rId113" Type="http://schemas.openxmlformats.org/officeDocument/2006/relationships/hyperlink" Target="https://bazaar.abuse.ch/sample/5614e4ebf22b5e0fe9708d7db7b97088d3f85a97f122ef5b973e234dbff2910e/" TargetMode="External"/><Relationship Id="rId114" Type="http://schemas.openxmlformats.org/officeDocument/2006/relationships/hyperlink" Target="https://bazaar.abuse.ch/sample/5614e4ebf22b5e0fe9708d7db7b97088d3f85a97f122ef5b973e234dbff2910e/" TargetMode="External"/><Relationship Id="rId115" Type="http://schemas.openxmlformats.org/officeDocument/2006/relationships/hyperlink" Target="https://bazaar.abuse.ch/sample/5614e4ebf22b5e0fe9708d7db7b97088d3f85a97f122ef5b973e234dbff2910e/" TargetMode="External"/><Relationship Id="rId116" Type="http://schemas.openxmlformats.org/officeDocument/2006/relationships/hyperlink" Target="https://bazaar.abuse.ch/sample/5614e4ebf22b5e0fe9708d7db7b97088d3f85a97f122ef5b973e234dbff2910e/" TargetMode="External"/><Relationship Id="rId117" Type="http://schemas.openxmlformats.org/officeDocument/2006/relationships/hyperlink" Target="https://bazaar.abuse.ch/sample/84025cfdc41458df372f199ce64cced15e9925a5b70cfeef77e64bd2df8df07d/" TargetMode="External"/><Relationship Id="rId118" Type="http://schemas.openxmlformats.org/officeDocument/2006/relationships/hyperlink" Target="https://bazaar.abuse.ch/sample/84025cfdc41458df372f199ce64cced15e9925a5b70cfeef77e64bd2df8df07d/" TargetMode="External"/><Relationship Id="rId119" Type="http://schemas.openxmlformats.org/officeDocument/2006/relationships/hyperlink" Target="https://bazaar.abuse.ch/sample/84025cfdc41458df372f199ce64cced15e9925a5b70cfeef77e64bd2df8df07d/" TargetMode="External"/><Relationship Id="rId120" Type="http://schemas.openxmlformats.org/officeDocument/2006/relationships/hyperlink" Target="https://bazaar.abuse.ch/sample/d4f80a6f0960b661d314ba41fa3aae2187b4532ecf5c04e31f3700a51639ac7d/" TargetMode="External"/><Relationship Id="rId121" Type="http://schemas.openxmlformats.org/officeDocument/2006/relationships/hyperlink" Target="https://bazaar.abuse.ch/sample/d4f80a6f0960b661d314ba41fa3aae2187b4532ecf5c04e31f3700a51639ac7d/" TargetMode="External"/><Relationship Id="rId122" Type="http://schemas.openxmlformats.org/officeDocument/2006/relationships/hyperlink" Target="https://bazaar.abuse.ch/sample/d4f80a6f0960b661d314ba41fa3aae2187b4532ecf5c04e31f3700a51639ac7d/" TargetMode="External"/><Relationship Id="rId123" Type="http://schemas.openxmlformats.org/officeDocument/2006/relationships/hyperlink" Target="https://bazaar.abuse.ch/sample/9faf6343befc05411af0870e1382f4fa479b20d7b5df0996733fb8f451739155/" TargetMode="External"/><Relationship Id="rId124" Type="http://schemas.openxmlformats.org/officeDocument/2006/relationships/hyperlink" Target="https://bazaar.abuse.ch/sample/9faf6343befc05411af0870e1382f4fa479b20d7b5df0996733fb8f451739155/" TargetMode="External"/><Relationship Id="rId125" Type="http://schemas.openxmlformats.org/officeDocument/2006/relationships/hyperlink" Target="https://bazaar.abuse.ch/sample/9faf6343befc05411af0870e1382f4fa479b20d7b5df0996733fb8f451739155/" TargetMode="External"/><Relationship Id="rId126" Type="http://schemas.openxmlformats.org/officeDocument/2006/relationships/hyperlink" Target="https://bazaar.abuse.ch/sample/6be0d87cb44236b11c566bb7914d27c0ef550487d8e42926a8f7331eb76f5f5a/" TargetMode="External"/><Relationship Id="rId127" Type="http://schemas.openxmlformats.org/officeDocument/2006/relationships/hyperlink" Target="https://bazaar.abuse.ch/sample/6be0d87cb44236b11c566bb7914d27c0ef550487d8e42926a8f7331eb76f5f5a/" TargetMode="External"/><Relationship Id="rId128" Type="http://schemas.openxmlformats.org/officeDocument/2006/relationships/hyperlink" Target="https://bazaar.abuse.ch/sample/6be0d87cb44236b11c566bb7914d27c0ef550487d8e42926a8f7331eb76f5f5a/" TargetMode="External"/><Relationship Id="rId129" Type="http://schemas.openxmlformats.org/officeDocument/2006/relationships/hyperlink" Target="https://bazaar.abuse.ch/sample/6be0d87cb44236b11c566bb7914d27c0ef550487d8e42926a8f7331eb76f5f5a/" TargetMode="External"/><Relationship Id="rId130" Type="http://schemas.openxmlformats.org/officeDocument/2006/relationships/hyperlink" Target="https://bazaar.abuse.ch/sample/221b235cce5fce944446ca079eb99c3b90767ed773db3624e1860278ef54b5df/" TargetMode="External"/><Relationship Id="rId131" Type="http://schemas.openxmlformats.org/officeDocument/2006/relationships/hyperlink" Target="https://bazaar.abuse.ch/sample/221b235cce5fce944446ca079eb99c3b90767ed773db3624e1860278ef54b5df/" TargetMode="External"/><Relationship Id="rId132" Type="http://schemas.openxmlformats.org/officeDocument/2006/relationships/hyperlink" Target="https://bazaar.abuse.ch/sample/221b235cce5fce944446ca079eb99c3b90767ed773db3624e1860278ef54b5df/" TargetMode="External"/><Relationship Id="rId133" Type="http://schemas.openxmlformats.org/officeDocument/2006/relationships/hyperlink" Target="https://bazaar.abuse.ch/sample/1de78de4302985fba4afe43e16f1d0c18fb6753f541647f3810b90084136cbe7/" TargetMode="External"/><Relationship Id="rId134" Type="http://schemas.openxmlformats.org/officeDocument/2006/relationships/hyperlink" Target="https://bazaar.abuse.ch/sample/1de78de4302985fba4afe43e16f1d0c18fb6753f541647f3810b90084136cbe7/" TargetMode="External"/><Relationship Id="rId135" Type="http://schemas.openxmlformats.org/officeDocument/2006/relationships/hyperlink" Target="https://bazaar.abuse.ch/sample/1de78de4302985fba4afe43e16f1d0c18fb6753f541647f3810b90084136cbe7/" TargetMode="External"/><Relationship Id="rId136" Type="http://schemas.openxmlformats.org/officeDocument/2006/relationships/hyperlink" Target="https://bazaar.abuse.ch/sample/27a351d0e801edbef24d976330064635903c3da58f7506b7741830f0dd46aeed/" TargetMode="External"/><Relationship Id="rId137" Type="http://schemas.openxmlformats.org/officeDocument/2006/relationships/hyperlink" Target="https://bazaar.abuse.ch/sample/27a351d0e801edbef24d976330064635903c3da58f7506b7741830f0dd46aeed/" TargetMode="External"/><Relationship Id="rId138" Type="http://schemas.openxmlformats.org/officeDocument/2006/relationships/hyperlink" Target="https://bazaar.abuse.ch/sample/27a351d0e801edbef24d976330064635903c3da58f7506b7741830f0dd46aeed/" TargetMode="External"/><Relationship Id="rId139" Type="http://schemas.openxmlformats.org/officeDocument/2006/relationships/hyperlink" Target="https://bazaar.abuse.ch/sample/34062e36d964c778b9aa61ecebd0f2e75961b2d771d30cd5b6ffa7d272c372fd/" TargetMode="External"/><Relationship Id="rId140" Type="http://schemas.openxmlformats.org/officeDocument/2006/relationships/hyperlink" Target="https://bazaar.abuse.ch/sample/34062e36d964c778b9aa61ecebd0f2e75961b2d771d30cd5b6ffa7d272c372fd/" TargetMode="External"/><Relationship Id="rId141" Type="http://schemas.openxmlformats.org/officeDocument/2006/relationships/hyperlink" Target="https://bazaar.abuse.ch/sample/34062e36d964c778b9aa61ecebd0f2e75961b2d771d30cd5b6ffa7d272c372fd/" TargetMode="External"/><Relationship Id="rId142" Type="http://schemas.openxmlformats.org/officeDocument/2006/relationships/hyperlink" Target="https://bazaar.abuse.ch/sample/34062e36d964c778b9aa61ecebd0f2e75961b2d771d30cd5b6ffa7d272c372fd/" TargetMode="External"/><Relationship Id="rId143" Type="http://schemas.openxmlformats.org/officeDocument/2006/relationships/hyperlink" Target="https://bazaar.abuse.ch/sample/de63dfaf868f4a2a6ff51690af39c7743c225480ea1fff4b2d7a7c466e5761f7/" TargetMode="External"/><Relationship Id="rId144" Type="http://schemas.openxmlformats.org/officeDocument/2006/relationships/hyperlink" Target="https://bazaar.abuse.ch/sample/de63dfaf868f4a2a6ff51690af39c7743c225480ea1fff4b2d7a7c466e5761f7/" TargetMode="External"/><Relationship Id="rId145" Type="http://schemas.openxmlformats.org/officeDocument/2006/relationships/hyperlink" Target="https://bazaar.abuse.ch/sample/de63dfaf868f4a2a6ff51690af39c7743c225480ea1fff4b2d7a7c466e5761f7/" TargetMode="External"/><Relationship Id="rId146" Type="http://schemas.openxmlformats.org/officeDocument/2006/relationships/hyperlink" Target="https://bazaar.abuse.ch/sample/de63dfaf868f4a2a6ff51690af39c7743c225480ea1fff4b2d7a7c466e5761f7/" TargetMode="External"/><Relationship Id="rId147" Type="http://schemas.openxmlformats.org/officeDocument/2006/relationships/hyperlink" Target="https://bazaar.abuse.ch/sample/2ea394c33913bdb06cac96467213c5b860ca80e70df3b846f3602b0f74884b46/" TargetMode="External"/><Relationship Id="rId148" Type="http://schemas.openxmlformats.org/officeDocument/2006/relationships/hyperlink" Target="https://bazaar.abuse.ch/sample/2ea394c33913bdb06cac96467213c5b860ca80e70df3b846f3602b0f74884b46/" TargetMode="External"/><Relationship Id="rId149" Type="http://schemas.openxmlformats.org/officeDocument/2006/relationships/hyperlink" Target="https://bazaar.abuse.ch/sample/2ea394c33913bdb06cac96467213c5b860ca80e70df3b846f3602b0f74884b46/" TargetMode="External"/><Relationship Id="rId150" Type="http://schemas.openxmlformats.org/officeDocument/2006/relationships/hyperlink" Target="https://bazaar.abuse.ch/sample/bf22455e356999abb9e1a6ba962d4f76c9c6f0deaafd0d4187fd5b0b031f7fe2/" TargetMode="External"/><Relationship Id="rId151" Type="http://schemas.openxmlformats.org/officeDocument/2006/relationships/hyperlink" Target="https://bazaar.abuse.ch/sample/bf22455e356999abb9e1a6ba962d4f76c9c6f0deaafd0d4187fd5b0b031f7fe2/" TargetMode="External"/><Relationship Id="rId152" Type="http://schemas.openxmlformats.org/officeDocument/2006/relationships/hyperlink" Target="https://bazaar.abuse.ch/sample/bf22455e356999abb9e1a6ba962d4f76c9c6f0deaafd0d4187fd5b0b031f7fe2/" TargetMode="External"/><Relationship Id="rId153" Type="http://schemas.openxmlformats.org/officeDocument/2006/relationships/hyperlink" Target="https://bazaar.abuse.ch/sample/bf22455e356999abb9e1a6ba962d4f76c9c6f0deaafd0d4187fd5b0b031f7fe2/" TargetMode="External"/><Relationship Id="rId154" Type="http://schemas.openxmlformats.org/officeDocument/2006/relationships/hyperlink" Target="https://bazaar.abuse.ch/sample/16602885d0f879e4477ad54079a8b04f5c163c539ca9c4c26cc33df98925472b/" TargetMode="External"/><Relationship Id="rId155" Type="http://schemas.openxmlformats.org/officeDocument/2006/relationships/hyperlink" Target="https://bazaar.abuse.ch/sample/16602885d0f879e4477ad54079a8b04f5c163c539ca9c4c26cc33df98925472b/" TargetMode="External"/><Relationship Id="rId156" Type="http://schemas.openxmlformats.org/officeDocument/2006/relationships/hyperlink" Target="https://bazaar.abuse.ch/sample/16602885d0f879e4477ad54079a8b04f5c163c539ca9c4c26cc33df98925472b/" TargetMode="External"/><Relationship Id="rId157" Type="http://schemas.openxmlformats.org/officeDocument/2006/relationships/hyperlink" Target="https://bazaar.abuse.ch/sample/8d87e9e7076ec05efe85a83510bfbc87bc680216f4c4a6f9f871990eaa7906b7/" TargetMode="External"/><Relationship Id="rId158" Type="http://schemas.openxmlformats.org/officeDocument/2006/relationships/hyperlink" Target="https://bazaar.abuse.ch/sample/8d87e9e7076ec05efe85a83510bfbc87bc680216f4c4a6f9f871990eaa7906b7/" TargetMode="External"/><Relationship Id="rId159" Type="http://schemas.openxmlformats.org/officeDocument/2006/relationships/hyperlink" Target="https://bazaar.abuse.ch/sample/8d87e9e7076ec05efe85a83510bfbc87bc680216f4c4a6f9f871990eaa7906b7/" TargetMode="External"/><Relationship Id="rId160" Type="http://schemas.openxmlformats.org/officeDocument/2006/relationships/hyperlink" Target="https://bazaar.abuse.ch/sample/4f3c9112b612349ca18cd3bd4ab6905afff34e4d806f9d38ac4c5e41194712aa/" TargetMode="External"/><Relationship Id="rId161" Type="http://schemas.openxmlformats.org/officeDocument/2006/relationships/hyperlink" Target="https://bazaar.abuse.ch/sample/4f3c9112b612349ca18cd3bd4ab6905afff34e4d806f9d38ac4c5e41194712aa/" TargetMode="External"/><Relationship Id="rId162" Type="http://schemas.openxmlformats.org/officeDocument/2006/relationships/hyperlink" Target="https://bazaar.abuse.ch/sample/4f3c9112b612349ca18cd3bd4ab6905afff34e4d806f9d38ac4c5e41194712aa/" TargetMode="External"/><Relationship Id="rId163" Type="http://schemas.openxmlformats.org/officeDocument/2006/relationships/hyperlink" Target="https://bazaar.abuse.ch/sample/d1c4adea218def895cf49ddcf5af017ff34921913936e8dac9f3f57c1378dc97/" TargetMode="External"/><Relationship Id="rId164" Type="http://schemas.openxmlformats.org/officeDocument/2006/relationships/hyperlink" Target="https://bazaar.abuse.ch/sample/d1c4adea218def895cf49ddcf5af017ff34921913936e8dac9f3f57c1378dc97/" TargetMode="External"/><Relationship Id="rId165" Type="http://schemas.openxmlformats.org/officeDocument/2006/relationships/hyperlink" Target="https://bazaar.abuse.ch/sample/d1c4adea218def895cf49ddcf5af017ff34921913936e8dac9f3f57c1378dc97/" TargetMode="External"/><Relationship Id="rId166" Type="http://schemas.openxmlformats.org/officeDocument/2006/relationships/hyperlink" Target="https://bazaar.abuse.ch/sample/f609a7e9d21dd807f15dbbc233fd8f2f4ac7e42bad565efbd35c20a16bd9c9af/" TargetMode="External"/><Relationship Id="rId167" Type="http://schemas.openxmlformats.org/officeDocument/2006/relationships/hyperlink" Target="https://bazaar.abuse.ch/sample/f609a7e9d21dd807f15dbbc233fd8f2f4ac7e42bad565efbd35c20a16bd9c9af/" TargetMode="External"/><Relationship Id="rId168" Type="http://schemas.openxmlformats.org/officeDocument/2006/relationships/hyperlink" Target="https://bazaar.abuse.ch/sample/f609a7e9d21dd807f15dbbc233fd8f2f4ac7e42bad565efbd35c20a16bd9c9af/" TargetMode="External"/><Relationship Id="rId169" Type="http://schemas.openxmlformats.org/officeDocument/2006/relationships/hyperlink" Target="https://bazaar.abuse.ch/sample/d0e083e7a89074e95a52d9e96576ffe168f5c62940aa2e522abcc14885e953ec/" TargetMode="External"/><Relationship Id="rId170" Type="http://schemas.openxmlformats.org/officeDocument/2006/relationships/hyperlink" Target="https://bazaar.abuse.ch/sample/d0e083e7a89074e95a52d9e96576ffe168f5c62940aa2e522abcc14885e953ec/" TargetMode="External"/><Relationship Id="rId171" Type="http://schemas.openxmlformats.org/officeDocument/2006/relationships/hyperlink" Target="https://bazaar.abuse.ch/sample/d0e083e7a89074e95a52d9e96576ffe168f5c62940aa2e522abcc14885e953ec/" TargetMode="External"/><Relationship Id="rId172" Type="http://schemas.openxmlformats.org/officeDocument/2006/relationships/hyperlink" Target="https://feodotracker.abuse.ch/browse/host/162.243.103.246/" TargetMode="External"/><Relationship Id="rId173" Type="http://schemas.openxmlformats.org/officeDocument/2006/relationships/hyperlink" Target="https://feodotracker.abuse.ch/browse/host/50.16.16.211/" TargetMode="External"/><Relationship Id="rId174" Type="http://schemas.openxmlformats.org/officeDocument/2006/relationships/hyperlink" Target="https://feodotracker.abuse.ch/browse/host/34.204.119.63/" TargetMode="External"/><Relationship Id="rId175" Type="http://schemas.openxmlformats.org/officeDocument/2006/relationships/hyperlink" Target="https://feodotracker.abuse.ch/browse/host/178.62.3.223/" TargetMode="External"/><Relationship Id="rId176" Type="http://schemas.openxmlformats.org/officeDocument/2006/relationships/hyperlink" Target="https://feodotracker.abuse.ch/browse/host/27.133.154.218/" TargetMode="External"/><Relationship Id="rId177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bazaar.abuse.ch/" TargetMode="External"/><Relationship Id="rId2" Type="http://schemas.openxmlformats.org/officeDocument/2006/relationships/hyperlink" Target="https://urlhaus.abuse.ch/" TargetMode="External"/><Relationship Id="rId3" Type="http://schemas.openxmlformats.org/officeDocument/2006/relationships/hyperlink" Target="https://threatfox.abuse.ch/" TargetMode="External"/><Relationship Id="rId4" Type="http://schemas.openxmlformats.org/officeDocument/2006/relationships/hyperlink" Target="https://feodotracker.abuse.ch/" TargetMode="External"/><Relationship Id="rId5" Type="http://schemas.openxmlformats.org/officeDocument/2006/relationships/hyperlink" Target="https://otx.alienvault.com/" TargetMode="External"/><Relationship Id="rId6" Type="http://schemas.openxmlformats.org/officeDocument/2006/relationships/hyperlink" Target="https://www.cisa.gov/news-events/cybersecurity-advisories" TargetMode="External"/><Relationship Id="rId7" Type="http://schemas.openxmlformats.org/officeDocument/2006/relationships/hyperlink" Target="https://www.cert-in.org.in/" TargetMode="External"/><Relationship Id="rId8" Type="http://schemas.openxmlformats.org/officeDocument/2006/relationships/hyperlink" Target="https://www.misp-project.org/" TargetMode="External"/><Relationship Id="rId9" Type="http://schemas.openxmlformats.org/officeDocument/2006/relationships/hyperlink" Target="https://www.virustotal.com/" TargetMode="External"/><Relationship Id="rId10" Type="http://schemas.openxmlformats.org/officeDocument/2006/relationships/hyperlink" Target="https://www.spamhaus.org/blocklists/do-not-route-or-pee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21</v>
      </c>
      <c r="H5" s="6" t="n">
        <v>46308</v>
      </c>
      <c r="I5" s="6" t="n">
        <v>46308</v>
      </c>
      <c r="J5" s="7" t="s">
        <v>22</v>
      </c>
      <c r="K5" s="5" t="s">
        <v>23</v>
      </c>
      <c r="L5" s="6" t="n">
        <v>46338</v>
      </c>
      <c r="M5" s="5" t="s">
        <v>24</v>
      </c>
      <c r="N5" s="4" t="str">
        <f aca="true">IF(L5="","",IF(L5&lt;TODAY(),"Expired","Active"))</f>
        <v>Active</v>
      </c>
    </row>
    <row r="6" customFormat="false" ht="15" hidden="false" customHeight="false" outlineLevel="0" collapsed="false">
      <c r="A6" s="4" t="s">
        <v>25</v>
      </c>
      <c r="B6" s="5" t="s">
        <v>26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21</v>
      </c>
      <c r="H6" s="6" t="n">
        <v>46308</v>
      </c>
      <c r="I6" s="6" t="n">
        <v>46308</v>
      </c>
      <c r="J6" s="7" t="s">
        <v>27</v>
      </c>
      <c r="K6" s="5" t="s">
        <v>23</v>
      </c>
      <c r="L6" s="6" t="n">
        <v>46338</v>
      </c>
      <c r="M6" s="5" t="s">
        <v>24</v>
      </c>
      <c r="N6" s="4" t="str">
        <f aca="true">IF(L6="","",IF(L6&lt;TODAY(),"Expired","Active"))</f>
        <v>Active</v>
      </c>
    </row>
    <row r="7" customFormat="false" ht="15" hidden="false" customHeight="false" outlineLevel="0" collapsed="false">
      <c r="A7" s="4" t="s">
        <v>28</v>
      </c>
      <c r="B7" s="5" t="s">
        <v>29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21</v>
      </c>
      <c r="H7" s="6" t="n">
        <v>46308</v>
      </c>
      <c r="I7" s="6" t="n">
        <v>46308</v>
      </c>
      <c r="J7" s="7" t="s">
        <v>30</v>
      </c>
      <c r="K7" s="5" t="s">
        <v>23</v>
      </c>
      <c r="L7" s="6" t="n">
        <v>46338</v>
      </c>
      <c r="M7" s="5" t="s">
        <v>24</v>
      </c>
      <c r="N7" s="4" t="str">
        <f aca="true">IF(L7="","",IF(L7&lt;TODAY(),"Expired","Active"))</f>
        <v>Active</v>
      </c>
    </row>
    <row r="8" customFormat="false" ht="15" hidden="false" customHeight="false" outlineLevel="0" collapsed="false">
      <c r="A8" s="4" t="s">
        <v>31</v>
      </c>
      <c r="B8" s="5" t="s">
        <v>32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21</v>
      </c>
      <c r="H8" s="6" t="n">
        <v>46308</v>
      </c>
      <c r="I8" s="6" t="n">
        <v>46308</v>
      </c>
      <c r="J8" s="7" t="s">
        <v>33</v>
      </c>
      <c r="K8" s="5" t="s">
        <v>23</v>
      </c>
      <c r="L8" s="6" t="n">
        <v>46338</v>
      </c>
      <c r="M8" s="5" t="s">
        <v>34</v>
      </c>
      <c r="N8" s="4" t="str">
        <f aca="true">IF(L8="","",IF(L8&lt;TODAY(),"Expired","Active"))</f>
        <v>Active</v>
      </c>
    </row>
    <row r="9" customFormat="false" ht="15" hidden="false" customHeight="false" outlineLevel="0" collapsed="false">
      <c r="A9" s="4" t="s">
        <v>35</v>
      </c>
      <c r="B9" s="5" t="s">
        <v>36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21</v>
      </c>
      <c r="H9" s="6" t="n">
        <v>46308</v>
      </c>
      <c r="I9" s="6" t="n">
        <v>46308</v>
      </c>
      <c r="J9" s="7" t="s">
        <v>37</v>
      </c>
      <c r="K9" s="5" t="s">
        <v>23</v>
      </c>
      <c r="L9" s="6" t="n">
        <v>46338</v>
      </c>
      <c r="M9" s="5" t="s">
        <v>24</v>
      </c>
      <c r="N9" s="4" t="str">
        <f aca="true">IF(L9="","",IF(L9&lt;TODAY(),"Expired","Active"))</f>
        <v>Active</v>
      </c>
    </row>
    <row r="10" customFormat="false" ht="15" hidden="false" customHeight="false" outlineLevel="0" collapsed="false">
      <c r="A10" s="4" t="s">
        <v>38</v>
      </c>
      <c r="B10" s="5" t="s">
        <v>39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21</v>
      </c>
      <c r="H10" s="6" t="n">
        <v>46308</v>
      </c>
      <c r="I10" s="6" t="n">
        <v>46308</v>
      </c>
      <c r="J10" s="7" t="s">
        <v>40</v>
      </c>
      <c r="K10" s="5" t="s">
        <v>23</v>
      </c>
      <c r="L10" s="6" t="n">
        <v>46338</v>
      </c>
      <c r="M10" s="5" t="s">
        <v>24</v>
      </c>
      <c r="N10" s="4" t="str">
        <f aca="true">IF(L10="","",IF(L10&lt;TODAY(),"Expired","Active"))</f>
        <v>Active</v>
      </c>
    </row>
    <row r="11" customFormat="false" ht="15" hidden="false" customHeight="false" outlineLevel="0" collapsed="false">
      <c r="A11" s="4" t="s">
        <v>41</v>
      </c>
      <c r="B11" s="5" t="s">
        <v>42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21</v>
      </c>
      <c r="H11" s="6" t="n">
        <v>46308</v>
      </c>
      <c r="I11" s="6" t="n">
        <v>46308</v>
      </c>
      <c r="J11" s="7" t="s">
        <v>43</v>
      </c>
      <c r="K11" s="5" t="s">
        <v>23</v>
      </c>
      <c r="L11" s="6" t="n">
        <v>46338</v>
      </c>
      <c r="M11" s="5" t="s">
        <v>34</v>
      </c>
      <c r="N11" s="4" t="str">
        <f aca="true">IF(L11="","",IF(L11&lt;TODAY(),"Expired","Active"))</f>
        <v>Active</v>
      </c>
    </row>
    <row r="12" customFormat="false" ht="15" hidden="false" customHeight="false" outlineLevel="0" collapsed="false">
      <c r="A12" s="4" t="s">
        <v>44</v>
      </c>
      <c r="B12" s="5" t="s">
        <v>45</v>
      </c>
      <c r="C12" s="5" t="s">
        <v>18</v>
      </c>
      <c r="D12" s="5" t="s">
        <v>19</v>
      </c>
      <c r="E12" s="5" t="s">
        <v>20</v>
      </c>
      <c r="F12" s="5" t="s">
        <v>21</v>
      </c>
      <c r="G12" s="5" t="s">
        <v>21</v>
      </c>
      <c r="H12" s="6" t="n">
        <v>46308</v>
      </c>
      <c r="I12" s="6" t="n">
        <v>46308</v>
      </c>
      <c r="J12" s="7" t="s">
        <v>46</v>
      </c>
      <c r="K12" s="5" t="s">
        <v>23</v>
      </c>
      <c r="L12" s="6" t="n">
        <v>46338</v>
      </c>
      <c r="M12" s="5" t="s">
        <v>24</v>
      </c>
      <c r="N12" s="4" t="str">
        <f aca="true">IF(L12="","",IF(L12&lt;TODAY(),"Expired","Active"))</f>
        <v>Active</v>
      </c>
    </row>
    <row r="13" customFormat="false" ht="15" hidden="false" customHeight="false" outlineLevel="0" collapsed="false">
      <c r="A13" s="4" t="s">
        <v>47</v>
      </c>
      <c r="B13" s="5" t="s">
        <v>48</v>
      </c>
      <c r="C13" s="5" t="s">
        <v>18</v>
      </c>
      <c r="D13" s="5" t="s">
        <v>19</v>
      </c>
      <c r="E13" s="5" t="s">
        <v>20</v>
      </c>
      <c r="F13" s="5" t="s">
        <v>21</v>
      </c>
      <c r="G13" s="5" t="s">
        <v>21</v>
      </c>
      <c r="H13" s="6" t="n">
        <v>46308</v>
      </c>
      <c r="I13" s="6" t="n">
        <v>46308</v>
      </c>
      <c r="J13" s="7" t="s">
        <v>49</v>
      </c>
      <c r="K13" s="5" t="s">
        <v>23</v>
      </c>
      <c r="L13" s="6" t="n">
        <v>46338</v>
      </c>
      <c r="M13" s="5" t="s">
        <v>24</v>
      </c>
      <c r="N13" s="4" t="str">
        <f aca="true">IF(L13="","",IF(L13&lt;TODAY(),"Expired","Active"))</f>
        <v>Active</v>
      </c>
    </row>
    <row r="14" customFormat="false" ht="15" hidden="false" customHeight="false" outlineLevel="0" collapsed="false">
      <c r="A14" s="4" t="s">
        <v>50</v>
      </c>
      <c r="B14" s="5" t="s">
        <v>51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21</v>
      </c>
      <c r="H14" s="6" t="n">
        <v>46308</v>
      </c>
      <c r="I14" s="6" t="n">
        <v>46308</v>
      </c>
      <c r="J14" s="7" t="s">
        <v>52</v>
      </c>
      <c r="K14" s="5" t="s">
        <v>23</v>
      </c>
      <c r="L14" s="6" t="n">
        <v>46338</v>
      </c>
      <c r="M14" s="5" t="s">
        <v>24</v>
      </c>
      <c r="N14" s="4" t="str">
        <f aca="true">IF(L14="","",IF(L14&lt;TODAY(),"Expired","Active"))</f>
        <v>Active</v>
      </c>
    </row>
    <row r="15" customFormat="false" ht="15" hidden="false" customHeight="false" outlineLevel="0" collapsed="false">
      <c r="A15" s="4" t="s">
        <v>53</v>
      </c>
      <c r="B15" s="5" t="s">
        <v>54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21</v>
      </c>
      <c r="H15" s="6" t="n">
        <v>46308</v>
      </c>
      <c r="I15" s="6" t="n">
        <v>46308</v>
      </c>
      <c r="J15" s="7" t="s">
        <v>55</v>
      </c>
      <c r="K15" s="5" t="s">
        <v>23</v>
      </c>
      <c r="L15" s="6" t="n">
        <v>46338</v>
      </c>
      <c r="M15" s="5" t="s">
        <v>34</v>
      </c>
      <c r="N15" s="4" t="str">
        <f aca="true">IF(L15="","",IF(L15&lt;TODAY(),"Expired","Active"))</f>
        <v>Active</v>
      </c>
    </row>
    <row r="16" customFormat="false" ht="15" hidden="false" customHeight="false" outlineLevel="0" collapsed="false">
      <c r="A16" s="4" t="s">
        <v>56</v>
      </c>
      <c r="B16" s="5" t="s">
        <v>57</v>
      </c>
      <c r="C16" s="5" t="s">
        <v>18</v>
      </c>
      <c r="D16" s="5" t="s">
        <v>19</v>
      </c>
      <c r="E16" s="5" t="s">
        <v>20</v>
      </c>
      <c r="F16" s="5" t="s">
        <v>21</v>
      </c>
      <c r="G16" s="5" t="s">
        <v>21</v>
      </c>
      <c r="H16" s="6" t="n">
        <v>46308</v>
      </c>
      <c r="I16" s="6" t="n">
        <v>46308</v>
      </c>
      <c r="J16" s="7" t="s">
        <v>58</v>
      </c>
      <c r="K16" s="5" t="s">
        <v>23</v>
      </c>
      <c r="L16" s="6" t="n">
        <v>46338</v>
      </c>
      <c r="M16" s="5" t="s">
        <v>24</v>
      </c>
      <c r="N16" s="4" t="str">
        <f aca="true">IF(L16="","",IF(L16&lt;TODAY(),"Expired","Active"))</f>
        <v>Active</v>
      </c>
    </row>
    <row r="17" customFormat="false" ht="15" hidden="false" customHeight="false" outlineLevel="0" collapsed="false">
      <c r="A17" s="4" t="s">
        <v>59</v>
      </c>
      <c r="B17" s="5" t="s">
        <v>60</v>
      </c>
      <c r="C17" s="5" t="s">
        <v>18</v>
      </c>
      <c r="D17" s="5" t="s">
        <v>19</v>
      </c>
      <c r="E17" s="5" t="s">
        <v>20</v>
      </c>
      <c r="F17" s="5" t="s">
        <v>21</v>
      </c>
      <c r="G17" s="5" t="s">
        <v>21</v>
      </c>
      <c r="H17" s="6" t="n">
        <v>46308</v>
      </c>
      <c r="I17" s="6" t="n">
        <v>46308</v>
      </c>
      <c r="J17" s="7" t="s">
        <v>61</v>
      </c>
      <c r="K17" s="5" t="s">
        <v>23</v>
      </c>
      <c r="L17" s="6" t="n">
        <v>46338</v>
      </c>
      <c r="M17" s="5" t="s">
        <v>24</v>
      </c>
      <c r="N17" s="4" t="str">
        <f aca="true">IF(L17="","",IF(L17&lt;TODAY(),"Expired","Active"))</f>
        <v>Active</v>
      </c>
    </row>
    <row r="18" customFormat="false" ht="15" hidden="false" customHeight="false" outlineLevel="0" collapsed="false">
      <c r="A18" s="4" t="s">
        <v>62</v>
      </c>
      <c r="B18" s="5" t="s">
        <v>63</v>
      </c>
      <c r="C18" s="5" t="s">
        <v>18</v>
      </c>
      <c r="D18" s="5" t="s">
        <v>19</v>
      </c>
      <c r="E18" s="5" t="s">
        <v>20</v>
      </c>
      <c r="F18" s="5" t="s">
        <v>21</v>
      </c>
      <c r="G18" s="5" t="s">
        <v>21</v>
      </c>
      <c r="H18" s="6" t="n">
        <v>46308</v>
      </c>
      <c r="I18" s="6" t="n">
        <v>46308</v>
      </c>
      <c r="J18" s="7" t="s">
        <v>64</v>
      </c>
      <c r="K18" s="5" t="s">
        <v>23</v>
      </c>
      <c r="L18" s="6" t="n">
        <v>46338</v>
      </c>
      <c r="M18" s="5" t="s">
        <v>34</v>
      </c>
      <c r="N18" s="4" t="str">
        <f aca="true">IF(L18="","",IF(L18&lt;TODAY(),"Expired","Active"))</f>
        <v>Active</v>
      </c>
    </row>
    <row r="19" customFormat="false" ht="15" hidden="false" customHeight="false" outlineLevel="0" collapsed="false">
      <c r="A19" s="4" t="s">
        <v>65</v>
      </c>
      <c r="B19" s="5" t="s">
        <v>66</v>
      </c>
      <c r="C19" s="5" t="s">
        <v>18</v>
      </c>
      <c r="D19" s="5" t="s">
        <v>19</v>
      </c>
      <c r="E19" s="5" t="s">
        <v>20</v>
      </c>
      <c r="F19" s="5" t="s">
        <v>21</v>
      </c>
      <c r="G19" s="5" t="s">
        <v>21</v>
      </c>
      <c r="H19" s="6" t="n">
        <v>46308</v>
      </c>
      <c r="I19" s="6" t="n">
        <v>46308</v>
      </c>
      <c r="J19" s="7" t="s">
        <v>67</v>
      </c>
      <c r="K19" s="5" t="s">
        <v>23</v>
      </c>
      <c r="L19" s="6" t="n">
        <v>46338</v>
      </c>
      <c r="M19" s="5" t="s">
        <v>24</v>
      </c>
      <c r="N19" s="4" t="str">
        <f aca="true">IF(L19="","",IF(L19&lt;TODAY(),"Expired","Active"))</f>
        <v>Active</v>
      </c>
    </row>
    <row r="20" customFormat="false" ht="15" hidden="false" customHeight="false" outlineLevel="0" collapsed="false">
      <c r="A20" s="4" t="s">
        <v>68</v>
      </c>
      <c r="B20" s="5" t="s">
        <v>69</v>
      </c>
      <c r="C20" s="5" t="s">
        <v>70</v>
      </c>
      <c r="D20" s="5" t="s">
        <v>71</v>
      </c>
      <c r="E20" s="5" t="s">
        <v>72</v>
      </c>
      <c r="F20" s="5" t="s">
        <v>73</v>
      </c>
      <c r="G20" s="5" t="s">
        <v>74</v>
      </c>
      <c r="H20" s="6" t="n">
        <v>46308</v>
      </c>
      <c r="I20" s="6" t="n">
        <v>46308</v>
      </c>
      <c r="J20" s="7" t="s">
        <v>75</v>
      </c>
      <c r="K20" s="5" t="s">
        <v>23</v>
      </c>
      <c r="L20" s="6" t="n">
        <v>46338</v>
      </c>
      <c r="M20" s="5" t="s">
        <v>76</v>
      </c>
      <c r="N20" s="4" t="str">
        <f aca="true">IF(L20="","",IF(L20&lt;TODAY(),"Expired","Active"))</f>
        <v>Active</v>
      </c>
    </row>
    <row r="21" customFormat="false" ht="15" hidden="false" customHeight="false" outlineLevel="0" collapsed="false">
      <c r="A21" s="4" t="s">
        <v>77</v>
      </c>
      <c r="B21" s="5" t="s">
        <v>78</v>
      </c>
      <c r="C21" s="5" t="s">
        <v>18</v>
      </c>
      <c r="D21" s="5" t="s">
        <v>19</v>
      </c>
      <c r="E21" s="5" t="s">
        <v>20</v>
      </c>
      <c r="F21" s="5" t="s">
        <v>21</v>
      </c>
      <c r="G21" s="5" t="s">
        <v>21</v>
      </c>
      <c r="H21" s="6" t="n">
        <v>46308</v>
      </c>
      <c r="I21" s="6" t="n">
        <v>46308</v>
      </c>
      <c r="J21" s="7" t="s">
        <v>79</v>
      </c>
      <c r="K21" s="5" t="s">
        <v>23</v>
      </c>
      <c r="L21" s="6" t="n">
        <v>46338</v>
      </c>
      <c r="M21" s="5" t="s">
        <v>24</v>
      </c>
      <c r="N21" s="4" t="str">
        <f aca="true">IF(L21="","",IF(L21&lt;TODAY(),"Expired","Active"))</f>
        <v>Active</v>
      </c>
    </row>
    <row r="22" customFormat="false" ht="15" hidden="false" customHeight="false" outlineLevel="0" collapsed="false">
      <c r="A22" s="4" t="s">
        <v>80</v>
      </c>
      <c r="B22" s="5" t="s">
        <v>81</v>
      </c>
      <c r="C22" s="5" t="s">
        <v>18</v>
      </c>
      <c r="D22" s="5" t="s">
        <v>19</v>
      </c>
      <c r="E22" s="5" t="s">
        <v>20</v>
      </c>
      <c r="F22" s="5" t="s">
        <v>21</v>
      </c>
      <c r="G22" s="5" t="s">
        <v>21</v>
      </c>
      <c r="H22" s="6" t="n">
        <v>46308</v>
      </c>
      <c r="I22" s="6" t="n">
        <v>46308</v>
      </c>
      <c r="J22" s="7" t="s">
        <v>82</v>
      </c>
      <c r="K22" s="5" t="s">
        <v>23</v>
      </c>
      <c r="L22" s="6" t="n">
        <v>46338</v>
      </c>
      <c r="M22" s="5" t="s">
        <v>34</v>
      </c>
      <c r="N22" s="4" t="str">
        <f aca="true">IF(L22="","",IF(L22&lt;TODAY(),"Expired","Active"))</f>
        <v>Active</v>
      </c>
    </row>
    <row r="23" customFormat="false" ht="15" hidden="false" customHeight="false" outlineLevel="0" collapsed="false">
      <c r="A23" s="4" t="s">
        <v>83</v>
      </c>
      <c r="B23" s="5" t="s">
        <v>84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21</v>
      </c>
      <c r="H23" s="6" t="n">
        <v>46308</v>
      </c>
      <c r="I23" s="6" t="n">
        <v>46308</v>
      </c>
      <c r="J23" s="7" t="s">
        <v>85</v>
      </c>
      <c r="K23" s="5" t="s">
        <v>23</v>
      </c>
      <c r="L23" s="6" t="n">
        <v>46338</v>
      </c>
      <c r="M23" s="5" t="s">
        <v>24</v>
      </c>
      <c r="N23" s="4" t="str">
        <f aca="true">IF(L23="","",IF(L23&lt;TODAY(),"Expired","Active"))</f>
        <v>Active</v>
      </c>
    </row>
    <row r="24" customFormat="false" ht="15" hidden="false" customHeight="false" outlineLevel="0" collapsed="false">
      <c r="A24" s="4" t="s">
        <v>86</v>
      </c>
      <c r="B24" s="5" t="s">
        <v>87</v>
      </c>
      <c r="C24" s="5" t="s">
        <v>18</v>
      </c>
      <c r="D24" s="5" t="s">
        <v>19</v>
      </c>
      <c r="E24" s="5" t="s">
        <v>20</v>
      </c>
      <c r="F24" s="5" t="s">
        <v>21</v>
      </c>
      <c r="G24" s="5" t="s">
        <v>21</v>
      </c>
      <c r="H24" s="6" t="n">
        <v>46308</v>
      </c>
      <c r="I24" s="6" t="n">
        <v>46308</v>
      </c>
      <c r="J24" s="7" t="s">
        <v>88</v>
      </c>
      <c r="K24" s="5" t="s">
        <v>23</v>
      </c>
      <c r="L24" s="6" t="n">
        <v>46338</v>
      </c>
      <c r="M24" s="5" t="s">
        <v>24</v>
      </c>
      <c r="N24" s="4" t="str">
        <f aca="true">IF(L24="","",IF(L24&lt;TODAY(),"Expired","Active"))</f>
        <v>Active</v>
      </c>
    </row>
    <row r="25" customFormat="false" ht="15" hidden="false" customHeight="false" outlineLevel="0" collapsed="false">
      <c r="A25" s="4" t="s">
        <v>89</v>
      </c>
      <c r="B25" s="5" t="s">
        <v>90</v>
      </c>
      <c r="C25" s="5" t="s">
        <v>18</v>
      </c>
      <c r="D25" s="5" t="s">
        <v>19</v>
      </c>
      <c r="E25" s="5" t="s">
        <v>20</v>
      </c>
      <c r="F25" s="5" t="s">
        <v>21</v>
      </c>
      <c r="G25" s="5" t="s">
        <v>21</v>
      </c>
      <c r="H25" s="6" t="n">
        <v>46308</v>
      </c>
      <c r="I25" s="6" t="n">
        <v>46308</v>
      </c>
      <c r="J25" s="7" t="s">
        <v>91</v>
      </c>
      <c r="K25" s="5" t="s">
        <v>23</v>
      </c>
      <c r="L25" s="6" t="n">
        <v>46338</v>
      </c>
      <c r="M25" s="5" t="s">
        <v>34</v>
      </c>
      <c r="N25" s="4" t="str">
        <f aca="true">IF(L25="","",IF(L25&lt;TODAY(),"Expired","Active"))</f>
        <v>Active</v>
      </c>
    </row>
    <row r="26" customFormat="false" ht="15" hidden="false" customHeight="false" outlineLevel="0" collapsed="false">
      <c r="A26" s="4" t="s">
        <v>92</v>
      </c>
      <c r="B26" s="5" t="s">
        <v>93</v>
      </c>
      <c r="C26" s="5" t="s">
        <v>70</v>
      </c>
      <c r="D26" s="5" t="s">
        <v>71</v>
      </c>
      <c r="E26" s="5" t="s">
        <v>72</v>
      </c>
      <c r="F26" s="5" t="s">
        <v>73</v>
      </c>
      <c r="G26" s="5" t="s">
        <v>74</v>
      </c>
      <c r="H26" s="6" t="n">
        <v>46308</v>
      </c>
      <c r="I26" s="6" t="n">
        <v>46308</v>
      </c>
      <c r="J26" s="7" t="s">
        <v>94</v>
      </c>
      <c r="K26" s="5" t="s">
        <v>23</v>
      </c>
      <c r="L26" s="6" t="n">
        <v>46338</v>
      </c>
      <c r="M26" s="8" t="s">
        <v>95</v>
      </c>
      <c r="N26" s="4" t="str">
        <f aca="true">IF(L26="","",IF(L26&lt;TODAY(),"Expired","Active"))</f>
        <v>Active</v>
      </c>
    </row>
    <row r="27" customFormat="false" ht="15" hidden="false" customHeight="false" outlineLevel="0" collapsed="false">
      <c r="A27" s="4" t="s">
        <v>96</v>
      </c>
      <c r="B27" s="5" t="s">
        <v>97</v>
      </c>
      <c r="C27" s="5" t="s">
        <v>18</v>
      </c>
      <c r="D27" s="5" t="s">
        <v>19</v>
      </c>
      <c r="E27" s="5" t="s">
        <v>20</v>
      </c>
      <c r="F27" s="5" t="s">
        <v>21</v>
      </c>
      <c r="G27" s="5" t="s">
        <v>21</v>
      </c>
      <c r="H27" s="6" t="n">
        <v>46308</v>
      </c>
      <c r="I27" s="6" t="n">
        <v>46308</v>
      </c>
      <c r="J27" s="7" t="s">
        <v>98</v>
      </c>
      <c r="K27" s="5" t="s">
        <v>23</v>
      </c>
      <c r="L27" s="6" t="n">
        <v>46338</v>
      </c>
      <c r="M27" s="5" t="s">
        <v>24</v>
      </c>
      <c r="N27" s="4" t="str">
        <f aca="true">IF(L27="","",IF(L27&lt;TODAY(),"Expired","Active"))</f>
        <v>Active</v>
      </c>
    </row>
    <row r="28" customFormat="false" ht="15" hidden="false" customHeight="false" outlineLevel="0" collapsed="false">
      <c r="A28" s="4" t="s">
        <v>99</v>
      </c>
      <c r="B28" s="5" t="s">
        <v>100</v>
      </c>
      <c r="C28" s="5" t="s">
        <v>18</v>
      </c>
      <c r="D28" s="5" t="s">
        <v>19</v>
      </c>
      <c r="E28" s="5" t="s">
        <v>20</v>
      </c>
      <c r="F28" s="5" t="s">
        <v>21</v>
      </c>
      <c r="G28" s="5" t="s">
        <v>21</v>
      </c>
      <c r="H28" s="6" t="n">
        <v>46308</v>
      </c>
      <c r="I28" s="6" t="n">
        <v>46308</v>
      </c>
      <c r="J28" s="7" t="s">
        <v>101</v>
      </c>
      <c r="K28" s="5" t="s">
        <v>23</v>
      </c>
      <c r="L28" s="6" t="n">
        <v>46338</v>
      </c>
      <c r="M28" s="5" t="s">
        <v>24</v>
      </c>
      <c r="N28" s="4" t="str">
        <f aca="true">IF(L28="","",IF(L28&lt;TODAY(),"Expired","Active"))</f>
        <v>Active</v>
      </c>
    </row>
    <row r="29" customFormat="false" ht="15" hidden="false" customHeight="false" outlineLevel="0" collapsed="false">
      <c r="A29" s="4" t="s">
        <v>102</v>
      </c>
      <c r="B29" s="5" t="s">
        <v>103</v>
      </c>
      <c r="C29" s="5" t="s">
        <v>18</v>
      </c>
      <c r="D29" s="5" t="s">
        <v>19</v>
      </c>
      <c r="E29" s="5" t="s">
        <v>20</v>
      </c>
      <c r="F29" s="5" t="s">
        <v>21</v>
      </c>
      <c r="G29" s="5" t="s">
        <v>21</v>
      </c>
      <c r="H29" s="6" t="n">
        <v>46308</v>
      </c>
      <c r="I29" s="6" t="n">
        <v>46308</v>
      </c>
      <c r="J29" s="7" t="s">
        <v>104</v>
      </c>
      <c r="K29" s="5" t="s">
        <v>23</v>
      </c>
      <c r="L29" s="6" t="n">
        <v>46338</v>
      </c>
      <c r="M29" s="5" t="s">
        <v>34</v>
      </c>
      <c r="N29" s="4" t="str">
        <f aca="true">IF(L29="","",IF(L29&lt;TODAY(),"Expired","Active"))</f>
        <v>Active</v>
      </c>
    </row>
    <row r="30" customFormat="false" ht="15" hidden="false" customHeight="false" outlineLevel="0" collapsed="false">
      <c r="A30" s="4" t="s">
        <v>105</v>
      </c>
      <c r="B30" s="5" t="s">
        <v>106</v>
      </c>
      <c r="C30" s="5" t="s">
        <v>18</v>
      </c>
      <c r="D30" s="5" t="s">
        <v>19</v>
      </c>
      <c r="E30" s="5" t="s">
        <v>20</v>
      </c>
      <c r="F30" s="5" t="s">
        <v>21</v>
      </c>
      <c r="G30" s="5" t="s">
        <v>21</v>
      </c>
      <c r="H30" s="6" t="n">
        <v>46308</v>
      </c>
      <c r="I30" s="6" t="n">
        <v>46308</v>
      </c>
      <c r="J30" s="7" t="s">
        <v>107</v>
      </c>
      <c r="K30" s="5" t="s">
        <v>23</v>
      </c>
      <c r="L30" s="6" t="n">
        <v>46338</v>
      </c>
      <c r="M30" s="5" t="s">
        <v>24</v>
      </c>
      <c r="N30" s="4" t="str">
        <f aca="true">IF(L30="","",IF(L30&lt;TODAY(),"Expired","Active"))</f>
        <v>Active</v>
      </c>
    </row>
    <row r="31" customFormat="false" ht="15" hidden="false" customHeight="false" outlineLevel="0" collapsed="false">
      <c r="A31" s="4" t="s">
        <v>108</v>
      </c>
      <c r="B31" s="5" t="s">
        <v>109</v>
      </c>
      <c r="C31" s="5" t="s">
        <v>18</v>
      </c>
      <c r="D31" s="5" t="s">
        <v>19</v>
      </c>
      <c r="E31" s="5" t="s">
        <v>20</v>
      </c>
      <c r="F31" s="5" t="s">
        <v>21</v>
      </c>
      <c r="G31" s="5" t="s">
        <v>21</v>
      </c>
      <c r="H31" s="6" t="n">
        <v>46308</v>
      </c>
      <c r="I31" s="6" t="n">
        <v>46308</v>
      </c>
      <c r="J31" s="7" t="s">
        <v>110</v>
      </c>
      <c r="K31" s="5" t="s">
        <v>23</v>
      </c>
      <c r="L31" s="6" t="n">
        <v>46338</v>
      </c>
      <c r="M31" s="5" t="s">
        <v>24</v>
      </c>
      <c r="N31" s="4" t="str">
        <f aca="true">IF(L31="","",IF(L31&lt;TODAY(),"Expired","Active"))</f>
        <v>Active</v>
      </c>
    </row>
    <row r="32" customFormat="false" ht="15" hidden="false" customHeight="false" outlineLevel="0" collapsed="false">
      <c r="A32" s="4" t="s">
        <v>111</v>
      </c>
      <c r="B32" s="5" t="s">
        <v>112</v>
      </c>
      <c r="C32" s="5" t="s">
        <v>70</v>
      </c>
      <c r="D32" s="5" t="s">
        <v>113</v>
      </c>
      <c r="E32" s="5" t="s">
        <v>72</v>
      </c>
      <c r="F32" s="5" t="s">
        <v>21</v>
      </c>
      <c r="G32" s="5" t="s">
        <v>74</v>
      </c>
      <c r="H32" s="6" t="n">
        <v>46308</v>
      </c>
      <c r="I32" s="6" t="n">
        <v>46308</v>
      </c>
      <c r="J32" s="7" t="s">
        <v>114</v>
      </c>
      <c r="K32" s="5" t="s">
        <v>23</v>
      </c>
      <c r="L32" s="6" t="n">
        <v>46338</v>
      </c>
      <c r="M32" s="5" t="s">
        <v>115</v>
      </c>
      <c r="N32" s="4" t="str">
        <f aca="true">IF(L32="","",IF(L32&lt;TODAY(),"Expired","Active"))</f>
        <v>Active</v>
      </c>
    </row>
    <row r="33" customFormat="false" ht="15" hidden="false" customHeight="false" outlineLevel="0" collapsed="false">
      <c r="A33" s="4" t="s">
        <v>116</v>
      </c>
      <c r="B33" s="5" t="s">
        <v>117</v>
      </c>
      <c r="C33" s="5" t="s">
        <v>18</v>
      </c>
      <c r="D33" s="5" t="s">
        <v>19</v>
      </c>
      <c r="E33" s="5" t="s">
        <v>20</v>
      </c>
      <c r="F33" s="5" t="s">
        <v>21</v>
      </c>
      <c r="G33" s="5" t="s">
        <v>21</v>
      </c>
      <c r="H33" s="6" t="n">
        <v>46308</v>
      </c>
      <c r="I33" s="6" t="n">
        <v>46308</v>
      </c>
      <c r="J33" s="7" t="s">
        <v>118</v>
      </c>
      <c r="K33" s="5" t="s">
        <v>23</v>
      </c>
      <c r="L33" s="6" t="n">
        <v>46338</v>
      </c>
      <c r="M33" s="5" t="s">
        <v>24</v>
      </c>
      <c r="N33" s="4" t="str">
        <f aca="true">IF(L33="","",IF(L33&lt;TODAY(),"Expired","Active"))</f>
        <v>Active</v>
      </c>
    </row>
    <row r="34" customFormat="false" ht="15" hidden="false" customHeight="false" outlineLevel="0" collapsed="false">
      <c r="A34" s="4" t="s">
        <v>119</v>
      </c>
      <c r="B34" s="5" t="s">
        <v>120</v>
      </c>
      <c r="C34" s="5" t="s">
        <v>18</v>
      </c>
      <c r="D34" s="5" t="s">
        <v>19</v>
      </c>
      <c r="E34" s="5" t="s">
        <v>20</v>
      </c>
      <c r="F34" s="5" t="s">
        <v>21</v>
      </c>
      <c r="G34" s="5" t="s">
        <v>21</v>
      </c>
      <c r="H34" s="6" t="n">
        <v>46308</v>
      </c>
      <c r="I34" s="6" t="n">
        <v>46308</v>
      </c>
      <c r="J34" s="7" t="s">
        <v>121</v>
      </c>
      <c r="K34" s="5" t="s">
        <v>23</v>
      </c>
      <c r="L34" s="6" t="n">
        <v>46338</v>
      </c>
      <c r="M34" s="5" t="s">
        <v>34</v>
      </c>
      <c r="N34" s="4" t="str">
        <f aca="true">IF(L34="","",IF(L34&lt;TODAY(),"Expired","Active"))</f>
        <v>Active</v>
      </c>
    </row>
    <row r="35" customFormat="false" ht="15" hidden="false" customHeight="false" outlineLevel="0" collapsed="false">
      <c r="A35" s="4" t="s">
        <v>122</v>
      </c>
      <c r="B35" s="5" t="s">
        <v>123</v>
      </c>
      <c r="C35" s="5" t="s">
        <v>18</v>
      </c>
      <c r="D35" s="5" t="s">
        <v>19</v>
      </c>
      <c r="E35" s="5" t="s">
        <v>20</v>
      </c>
      <c r="F35" s="5" t="s">
        <v>21</v>
      </c>
      <c r="G35" s="5" t="s">
        <v>21</v>
      </c>
      <c r="H35" s="6" t="n">
        <v>46308</v>
      </c>
      <c r="I35" s="6" t="n">
        <v>46308</v>
      </c>
      <c r="J35" s="7" t="s">
        <v>124</v>
      </c>
      <c r="K35" s="5" t="s">
        <v>23</v>
      </c>
      <c r="L35" s="6" t="n">
        <v>46338</v>
      </c>
      <c r="M35" s="5" t="s">
        <v>24</v>
      </c>
      <c r="N35" s="4" t="str">
        <f aca="true">IF(L35="","",IF(L35&lt;TODAY(),"Expired","Active"))</f>
        <v>Active</v>
      </c>
    </row>
    <row r="36" customFormat="false" ht="15" hidden="false" customHeight="false" outlineLevel="0" collapsed="false">
      <c r="A36" s="4" t="s">
        <v>125</v>
      </c>
      <c r="B36" s="5" t="s">
        <v>126</v>
      </c>
      <c r="C36" s="5" t="s">
        <v>18</v>
      </c>
      <c r="D36" s="5" t="s">
        <v>19</v>
      </c>
      <c r="E36" s="5" t="s">
        <v>20</v>
      </c>
      <c r="F36" s="5" t="s">
        <v>21</v>
      </c>
      <c r="G36" s="5" t="s">
        <v>21</v>
      </c>
      <c r="H36" s="6" t="n">
        <v>46308</v>
      </c>
      <c r="I36" s="6" t="n">
        <v>46308</v>
      </c>
      <c r="J36" s="7" t="s">
        <v>127</v>
      </c>
      <c r="K36" s="5" t="s">
        <v>23</v>
      </c>
      <c r="L36" s="6" t="n">
        <v>46338</v>
      </c>
      <c r="M36" s="5" t="s">
        <v>24</v>
      </c>
      <c r="N36" s="4" t="str">
        <f aca="true">IF(L36="","",IF(L36&lt;TODAY(),"Expired","Active"))</f>
        <v>Active</v>
      </c>
    </row>
    <row r="37" customFormat="false" ht="15" hidden="false" customHeight="false" outlineLevel="0" collapsed="false">
      <c r="A37" s="4" t="s">
        <v>128</v>
      </c>
      <c r="B37" s="5" t="s">
        <v>129</v>
      </c>
      <c r="C37" s="5" t="s">
        <v>18</v>
      </c>
      <c r="D37" s="5" t="s">
        <v>19</v>
      </c>
      <c r="E37" s="5" t="s">
        <v>20</v>
      </c>
      <c r="F37" s="5" t="s">
        <v>21</v>
      </c>
      <c r="G37" s="5" t="s">
        <v>21</v>
      </c>
      <c r="H37" s="6" t="n">
        <v>46308</v>
      </c>
      <c r="I37" s="6" t="n">
        <v>46308</v>
      </c>
      <c r="J37" s="7" t="s">
        <v>130</v>
      </c>
      <c r="K37" s="5" t="s">
        <v>23</v>
      </c>
      <c r="L37" s="6" t="n">
        <v>46338</v>
      </c>
      <c r="M37" s="5" t="s">
        <v>24</v>
      </c>
      <c r="N37" s="4" t="str">
        <f aca="true">IF(L37="","",IF(L37&lt;TODAY(),"Expired","Active"))</f>
        <v>Active</v>
      </c>
    </row>
    <row r="38" customFormat="false" ht="15" hidden="false" customHeight="false" outlineLevel="0" collapsed="false">
      <c r="A38" s="4" t="s">
        <v>131</v>
      </c>
      <c r="B38" s="5" t="s">
        <v>132</v>
      </c>
      <c r="C38" s="5" t="s">
        <v>18</v>
      </c>
      <c r="D38" s="5" t="s">
        <v>19</v>
      </c>
      <c r="E38" s="5" t="s">
        <v>20</v>
      </c>
      <c r="F38" s="5" t="s">
        <v>21</v>
      </c>
      <c r="G38" s="5" t="s">
        <v>21</v>
      </c>
      <c r="H38" s="6" t="n">
        <v>46308</v>
      </c>
      <c r="I38" s="6" t="n">
        <v>46308</v>
      </c>
      <c r="J38" s="7" t="s">
        <v>133</v>
      </c>
      <c r="K38" s="5" t="s">
        <v>23</v>
      </c>
      <c r="L38" s="6" t="n">
        <v>46338</v>
      </c>
      <c r="M38" s="5" t="s">
        <v>34</v>
      </c>
      <c r="N38" s="4" t="str">
        <f aca="true">IF(L38="","",IF(L38&lt;TODAY(),"Expired","Active"))</f>
        <v>Active</v>
      </c>
    </row>
    <row r="39" customFormat="false" ht="15" hidden="false" customHeight="false" outlineLevel="0" collapsed="false">
      <c r="A39" s="4" t="s">
        <v>134</v>
      </c>
      <c r="B39" s="5" t="s">
        <v>135</v>
      </c>
      <c r="C39" s="5" t="s">
        <v>18</v>
      </c>
      <c r="D39" s="5" t="s">
        <v>19</v>
      </c>
      <c r="E39" s="5" t="s">
        <v>20</v>
      </c>
      <c r="F39" s="5" t="s">
        <v>21</v>
      </c>
      <c r="G39" s="5" t="s">
        <v>21</v>
      </c>
      <c r="H39" s="6" t="n">
        <v>46308</v>
      </c>
      <c r="I39" s="6" t="n">
        <v>46308</v>
      </c>
      <c r="J39" s="7" t="s">
        <v>136</v>
      </c>
      <c r="K39" s="5" t="s">
        <v>23</v>
      </c>
      <c r="L39" s="6" t="n">
        <v>46338</v>
      </c>
      <c r="M39" s="5" t="s">
        <v>24</v>
      </c>
      <c r="N39" s="4" t="str">
        <f aca="true">IF(L39="","",IF(L39&lt;TODAY(),"Expired","Active"))</f>
        <v>Active</v>
      </c>
    </row>
    <row r="40" customFormat="false" ht="15" hidden="false" customHeight="false" outlineLevel="0" collapsed="false">
      <c r="A40" s="4" t="s">
        <v>137</v>
      </c>
      <c r="B40" s="5" t="s">
        <v>138</v>
      </c>
      <c r="C40" s="5" t="s">
        <v>18</v>
      </c>
      <c r="D40" s="5" t="s">
        <v>19</v>
      </c>
      <c r="E40" s="5" t="s">
        <v>20</v>
      </c>
      <c r="F40" s="5" t="s">
        <v>21</v>
      </c>
      <c r="G40" s="5" t="s">
        <v>21</v>
      </c>
      <c r="H40" s="6" t="n">
        <v>46308</v>
      </c>
      <c r="I40" s="6" t="n">
        <v>46308</v>
      </c>
      <c r="J40" s="7" t="s">
        <v>139</v>
      </c>
      <c r="K40" s="5" t="s">
        <v>23</v>
      </c>
      <c r="L40" s="6" t="n">
        <v>46338</v>
      </c>
      <c r="M40" s="5" t="s">
        <v>24</v>
      </c>
      <c r="N40" s="4" t="str">
        <f aca="true">IF(L40="","",IF(L40&lt;TODAY(),"Expired","Active"))</f>
        <v>Active</v>
      </c>
    </row>
    <row r="41" customFormat="false" ht="15" hidden="false" customHeight="false" outlineLevel="0" collapsed="false">
      <c r="A41" s="4" t="s">
        <v>140</v>
      </c>
      <c r="B41" s="5" t="s">
        <v>141</v>
      </c>
      <c r="C41" s="5" t="s">
        <v>18</v>
      </c>
      <c r="D41" s="5" t="s">
        <v>19</v>
      </c>
      <c r="E41" s="5" t="s">
        <v>20</v>
      </c>
      <c r="F41" s="5" t="s">
        <v>21</v>
      </c>
      <c r="G41" s="5" t="s">
        <v>21</v>
      </c>
      <c r="H41" s="6" t="n">
        <v>46308</v>
      </c>
      <c r="I41" s="6" t="n">
        <v>46308</v>
      </c>
      <c r="J41" s="7" t="s">
        <v>142</v>
      </c>
      <c r="K41" s="5" t="s">
        <v>23</v>
      </c>
      <c r="L41" s="6" t="n">
        <v>46338</v>
      </c>
      <c r="M41" s="5" t="s">
        <v>34</v>
      </c>
      <c r="N41" s="4" t="str">
        <f aca="true">IF(L41="","",IF(L41&lt;TODAY(),"Expired","Active"))</f>
        <v>Active</v>
      </c>
    </row>
    <row r="42" customFormat="false" ht="15" hidden="false" customHeight="false" outlineLevel="0" collapsed="false">
      <c r="A42" s="4" t="s">
        <v>143</v>
      </c>
      <c r="B42" s="5" t="s">
        <v>144</v>
      </c>
      <c r="C42" s="5" t="s">
        <v>18</v>
      </c>
      <c r="D42" s="5" t="s">
        <v>19</v>
      </c>
      <c r="E42" s="5" t="s">
        <v>20</v>
      </c>
      <c r="F42" s="5" t="s">
        <v>21</v>
      </c>
      <c r="G42" s="5" t="s">
        <v>21</v>
      </c>
      <c r="H42" s="6" t="n">
        <v>46308</v>
      </c>
      <c r="I42" s="6" t="n">
        <v>46308</v>
      </c>
      <c r="J42" s="7" t="s">
        <v>145</v>
      </c>
      <c r="K42" s="5" t="s">
        <v>23</v>
      </c>
      <c r="L42" s="6" t="n">
        <v>46338</v>
      </c>
      <c r="M42" s="5" t="s">
        <v>24</v>
      </c>
      <c r="N42" s="4" t="str">
        <f aca="true">IF(L42="","",IF(L42&lt;TODAY(),"Expired","Active"))</f>
        <v>Active</v>
      </c>
    </row>
    <row r="43" customFormat="false" ht="15" hidden="false" customHeight="false" outlineLevel="0" collapsed="false">
      <c r="A43" s="4" t="s">
        <v>146</v>
      </c>
      <c r="B43" s="5" t="s">
        <v>147</v>
      </c>
      <c r="C43" s="5" t="s">
        <v>18</v>
      </c>
      <c r="D43" s="5" t="s">
        <v>19</v>
      </c>
      <c r="E43" s="5" t="s">
        <v>20</v>
      </c>
      <c r="F43" s="5" t="s">
        <v>21</v>
      </c>
      <c r="G43" s="5" t="s">
        <v>21</v>
      </c>
      <c r="H43" s="6" t="n">
        <v>46308</v>
      </c>
      <c r="I43" s="6" t="n">
        <v>46308</v>
      </c>
      <c r="J43" s="7" t="s">
        <v>148</v>
      </c>
      <c r="K43" s="5" t="s">
        <v>23</v>
      </c>
      <c r="L43" s="6" t="n">
        <v>46338</v>
      </c>
      <c r="M43" s="5" t="s">
        <v>24</v>
      </c>
      <c r="N43" s="4" t="str">
        <f aca="true">IF(L43="","",IF(L43&lt;TODAY(),"Expired","Active"))</f>
        <v>Active</v>
      </c>
    </row>
    <row r="44" customFormat="false" ht="15" hidden="false" customHeight="false" outlineLevel="0" collapsed="false">
      <c r="A44" s="4" t="s">
        <v>149</v>
      </c>
      <c r="B44" s="5" t="s">
        <v>150</v>
      </c>
      <c r="C44" s="5" t="s">
        <v>18</v>
      </c>
      <c r="D44" s="5" t="s">
        <v>19</v>
      </c>
      <c r="E44" s="5" t="s">
        <v>20</v>
      </c>
      <c r="F44" s="5" t="s">
        <v>21</v>
      </c>
      <c r="G44" s="5" t="s">
        <v>21</v>
      </c>
      <c r="H44" s="6" t="n">
        <v>46308</v>
      </c>
      <c r="I44" s="6" t="n">
        <v>46308</v>
      </c>
      <c r="J44" s="7" t="s">
        <v>151</v>
      </c>
      <c r="K44" s="5" t="s">
        <v>23</v>
      </c>
      <c r="L44" s="6" t="n">
        <v>46338</v>
      </c>
      <c r="M44" s="5" t="s">
        <v>24</v>
      </c>
      <c r="N44" s="4" t="str">
        <f aca="true">IF(L44="","",IF(L44&lt;TODAY(),"Expired","Active"))</f>
        <v>Active</v>
      </c>
    </row>
    <row r="45" customFormat="false" ht="15" hidden="false" customHeight="false" outlineLevel="0" collapsed="false">
      <c r="A45" s="4" t="s">
        <v>152</v>
      </c>
      <c r="B45" s="5" t="s">
        <v>153</v>
      </c>
      <c r="C45" s="5" t="s">
        <v>18</v>
      </c>
      <c r="D45" s="5" t="s">
        <v>19</v>
      </c>
      <c r="E45" s="5" t="s">
        <v>20</v>
      </c>
      <c r="F45" s="5" t="s">
        <v>21</v>
      </c>
      <c r="G45" s="5" t="s">
        <v>21</v>
      </c>
      <c r="H45" s="6" t="n">
        <v>46308</v>
      </c>
      <c r="I45" s="6" t="n">
        <v>46308</v>
      </c>
      <c r="J45" s="7" t="s">
        <v>154</v>
      </c>
      <c r="K45" s="5" t="s">
        <v>23</v>
      </c>
      <c r="L45" s="6" t="n">
        <v>46338</v>
      </c>
      <c r="M45" s="5" t="s">
        <v>34</v>
      </c>
      <c r="N45" s="4" t="str">
        <f aca="true">IF(L45="","",IF(L45&lt;TODAY(),"Expired","Active"))</f>
        <v>Active</v>
      </c>
    </row>
    <row r="46" customFormat="false" ht="15" hidden="false" customHeight="false" outlineLevel="0" collapsed="false">
      <c r="A46" s="4" t="s">
        <v>155</v>
      </c>
      <c r="B46" s="5" t="s">
        <v>156</v>
      </c>
      <c r="C46" s="5" t="s">
        <v>157</v>
      </c>
      <c r="D46" s="5" t="s">
        <v>158</v>
      </c>
      <c r="E46" s="5" t="s">
        <v>20</v>
      </c>
      <c r="F46" s="5" t="s">
        <v>21</v>
      </c>
      <c r="G46" s="5" t="s">
        <v>74</v>
      </c>
      <c r="H46" s="6" t="n">
        <v>46308</v>
      </c>
      <c r="I46" s="6" t="n">
        <v>46308</v>
      </c>
      <c r="J46" s="7" t="s">
        <v>159</v>
      </c>
      <c r="K46" s="5" t="s">
        <v>23</v>
      </c>
      <c r="L46" s="6" t="n">
        <v>46338</v>
      </c>
      <c r="M46" s="5" t="s">
        <v>24</v>
      </c>
      <c r="N46" s="4" t="str">
        <f aca="true">IF(L46="","",IF(L46&lt;TODAY(),"Expired","Active"))</f>
        <v>Active</v>
      </c>
    </row>
    <row r="47" customFormat="false" ht="15" hidden="false" customHeight="false" outlineLevel="0" collapsed="false">
      <c r="A47" s="4" t="s">
        <v>160</v>
      </c>
      <c r="B47" s="5" t="s">
        <v>161</v>
      </c>
      <c r="C47" s="5" t="s">
        <v>18</v>
      </c>
      <c r="D47" s="5" t="s">
        <v>19</v>
      </c>
      <c r="E47" s="5" t="s">
        <v>20</v>
      </c>
      <c r="F47" s="5" t="s">
        <v>21</v>
      </c>
      <c r="G47" s="5" t="s">
        <v>21</v>
      </c>
      <c r="H47" s="6" t="n">
        <v>46308</v>
      </c>
      <c r="I47" s="6" t="n">
        <v>46308</v>
      </c>
      <c r="J47" s="7" t="s">
        <v>162</v>
      </c>
      <c r="K47" s="5" t="s">
        <v>23</v>
      </c>
      <c r="L47" s="6" t="n">
        <v>46338</v>
      </c>
      <c r="M47" s="5" t="s">
        <v>24</v>
      </c>
      <c r="N47" s="4" t="str">
        <f aca="true">IF(L47="","",IF(L47&lt;TODAY(),"Expired","Active"))</f>
        <v>Active</v>
      </c>
    </row>
    <row r="48" customFormat="false" ht="15" hidden="false" customHeight="false" outlineLevel="0" collapsed="false">
      <c r="A48" s="4" t="s">
        <v>163</v>
      </c>
      <c r="B48" s="5" t="s">
        <v>164</v>
      </c>
      <c r="C48" s="5" t="s">
        <v>70</v>
      </c>
      <c r="D48" s="5" t="s">
        <v>113</v>
      </c>
      <c r="E48" s="5" t="s">
        <v>72</v>
      </c>
      <c r="F48" s="5" t="s">
        <v>21</v>
      </c>
      <c r="G48" s="5" t="s">
        <v>74</v>
      </c>
      <c r="H48" s="6" t="n">
        <v>46308</v>
      </c>
      <c r="I48" s="6" t="n">
        <v>46308</v>
      </c>
      <c r="J48" s="7" t="s">
        <v>165</v>
      </c>
      <c r="K48" s="5" t="s">
        <v>23</v>
      </c>
      <c r="L48" s="6" t="n">
        <v>46338</v>
      </c>
      <c r="M48" s="5" t="s">
        <v>115</v>
      </c>
      <c r="N48" s="4" t="str">
        <f aca="true">IF(L48="","",IF(L48&lt;TODAY(),"Expired","Active"))</f>
        <v>Active</v>
      </c>
    </row>
    <row r="49" customFormat="false" ht="15" hidden="false" customHeight="false" outlineLevel="0" collapsed="false">
      <c r="A49" s="4" t="s">
        <v>166</v>
      </c>
      <c r="B49" s="5" t="s">
        <v>167</v>
      </c>
      <c r="C49" s="5" t="s">
        <v>18</v>
      </c>
      <c r="D49" s="5" t="s">
        <v>19</v>
      </c>
      <c r="E49" s="5" t="s">
        <v>20</v>
      </c>
      <c r="F49" s="5" t="s">
        <v>21</v>
      </c>
      <c r="G49" s="5" t="s">
        <v>21</v>
      </c>
      <c r="H49" s="6" t="n">
        <v>46308</v>
      </c>
      <c r="I49" s="6" t="n">
        <v>46308</v>
      </c>
      <c r="J49" s="7" t="s">
        <v>168</v>
      </c>
      <c r="K49" s="5" t="s">
        <v>23</v>
      </c>
      <c r="L49" s="6" t="n">
        <v>46338</v>
      </c>
      <c r="M49" s="5" t="s">
        <v>24</v>
      </c>
      <c r="N49" s="4" t="str">
        <f aca="true">IF(L49="","",IF(L49&lt;TODAY(),"Expired","Active"))</f>
        <v>Active</v>
      </c>
    </row>
    <row r="50" customFormat="false" ht="15" hidden="false" customHeight="false" outlineLevel="0" collapsed="false">
      <c r="A50" s="4" t="s">
        <v>169</v>
      </c>
      <c r="B50" s="5" t="s">
        <v>170</v>
      </c>
      <c r="C50" s="5" t="s">
        <v>18</v>
      </c>
      <c r="D50" s="5" t="s">
        <v>19</v>
      </c>
      <c r="E50" s="5" t="s">
        <v>20</v>
      </c>
      <c r="F50" s="5" t="s">
        <v>21</v>
      </c>
      <c r="G50" s="5" t="s">
        <v>21</v>
      </c>
      <c r="H50" s="6" t="n">
        <v>46308</v>
      </c>
      <c r="I50" s="6" t="n">
        <v>46308</v>
      </c>
      <c r="J50" s="7" t="s">
        <v>171</v>
      </c>
      <c r="K50" s="5" t="s">
        <v>23</v>
      </c>
      <c r="L50" s="6" t="n">
        <v>46338</v>
      </c>
      <c r="M50" s="5" t="s">
        <v>34</v>
      </c>
      <c r="N50" s="4" t="str">
        <f aca="true">IF(L50="","",IF(L50&lt;TODAY(),"Expired","Active"))</f>
        <v>Active</v>
      </c>
    </row>
    <row r="51" customFormat="false" ht="15" hidden="false" customHeight="false" outlineLevel="0" collapsed="false">
      <c r="A51" s="4" t="s">
        <v>172</v>
      </c>
      <c r="B51" s="5" t="s">
        <v>173</v>
      </c>
      <c r="C51" s="5" t="s">
        <v>18</v>
      </c>
      <c r="D51" s="5" t="s">
        <v>19</v>
      </c>
      <c r="E51" s="5" t="s">
        <v>20</v>
      </c>
      <c r="F51" s="5" t="s">
        <v>21</v>
      </c>
      <c r="G51" s="5" t="s">
        <v>21</v>
      </c>
      <c r="H51" s="6" t="n">
        <v>46308</v>
      </c>
      <c r="I51" s="6" t="n">
        <v>46308</v>
      </c>
      <c r="J51" s="7" t="s">
        <v>174</v>
      </c>
      <c r="K51" s="5" t="s">
        <v>23</v>
      </c>
      <c r="L51" s="6" t="n">
        <v>46338</v>
      </c>
      <c r="M51" s="5" t="s">
        <v>24</v>
      </c>
      <c r="N51" s="4" t="str">
        <f aca="true">IF(L51="","",IF(L51&lt;TODAY(),"Expired","Active"))</f>
        <v>Active</v>
      </c>
    </row>
    <row r="52" customFormat="false" ht="15" hidden="false" customHeight="false" outlineLevel="0" collapsed="false">
      <c r="A52" s="4" t="s">
        <v>175</v>
      </c>
      <c r="B52" s="5" t="s">
        <v>176</v>
      </c>
      <c r="C52" s="5" t="s">
        <v>18</v>
      </c>
      <c r="D52" s="5" t="s">
        <v>19</v>
      </c>
      <c r="E52" s="5" t="s">
        <v>20</v>
      </c>
      <c r="F52" s="5" t="s">
        <v>21</v>
      </c>
      <c r="G52" s="5" t="s">
        <v>21</v>
      </c>
      <c r="H52" s="6" t="n">
        <v>46308</v>
      </c>
      <c r="I52" s="6" t="n">
        <v>46308</v>
      </c>
      <c r="J52" s="7" t="s">
        <v>177</v>
      </c>
      <c r="K52" s="5" t="s">
        <v>23</v>
      </c>
      <c r="L52" s="6" t="n">
        <v>46338</v>
      </c>
      <c r="M52" s="5" t="s">
        <v>24</v>
      </c>
      <c r="N52" s="4" t="str">
        <f aca="true">IF(L52="","",IF(L52&lt;TODAY(),"Expired","Active"))</f>
        <v>Active</v>
      </c>
    </row>
    <row r="53" customFormat="false" ht="15" hidden="false" customHeight="false" outlineLevel="0" collapsed="false">
      <c r="A53" s="4" t="s">
        <v>178</v>
      </c>
      <c r="B53" s="5" t="s">
        <v>179</v>
      </c>
      <c r="C53" s="5" t="s">
        <v>70</v>
      </c>
      <c r="D53" s="5" t="s">
        <v>113</v>
      </c>
      <c r="E53" s="5" t="s">
        <v>72</v>
      </c>
      <c r="F53" s="5" t="s">
        <v>21</v>
      </c>
      <c r="G53" s="5" t="s">
        <v>74</v>
      </c>
      <c r="H53" s="6" t="n">
        <v>46308</v>
      </c>
      <c r="I53" s="6" t="n">
        <v>46308</v>
      </c>
      <c r="J53" s="7" t="s">
        <v>180</v>
      </c>
      <c r="K53" s="5" t="s">
        <v>23</v>
      </c>
      <c r="L53" s="6" t="n">
        <v>46338</v>
      </c>
      <c r="M53" s="5" t="s">
        <v>115</v>
      </c>
      <c r="N53" s="4" t="str">
        <f aca="true">IF(L53="","",IF(L53&lt;TODAY(),"Expired","Active"))</f>
        <v>Active</v>
      </c>
    </row>
    <row r="54" customFormat="false" ht="15" hidden="false" customHeight="false" outlineLevel="0" collapsed="false">
      <c r="A54" s="4" t="s">
        <v>181</v>
      </c>
      <c r="B54" s="5" t="s">
        <v>182</v>
      </c>
      <c r="C54" s="5" t="s">
        <v>18</v>
      </c>
      <c r="D54" s="5" t="s">
        <v>19</v>
      </c>
      <c r="E54" s="5" t="s">
        <v>20</v>
      </c>
      <c r="F54" s="5" t="s">
        <v>21</v>
      </c>
      <c r="G54" s="5" t="s">
        <v>21</v>
      </c>
      <c r="H54" s="6" t="n">
        <v>46308</v>
      </c>
      <c r="I54" s="6" t="n">
        <v>46308</v>
      </c>
      <c r="J54" s="7" t="s">
        <v>183</v>
      </c>
      <c r="K54" s="5" t="s">
        <v>23</v>
      </c>
      <c r="L54" s="6" t="n">
        <v>46338</v>
      </c>
      <c r="M54" s="5" t="s">
        <v>34</v>
      </c>
      <c r="N54" s="4" t="str">
        <f aca="true">IF(L54="","",IF(L54&lt;TODAY(),"Expired","Active"))</f>
        <v>Active</v>
      </c>
    </row>
    <row r="55" customFormat="false" ht="15" hidden="false" customHeight="false" outlineLevel="0" collapsed="false">
      <c r="A55" s="4" t="s">
        <v>184</v>
      </c>
      <c r="B55" s="5" t="s">
        <v>185</v>
      </c>
      <c r="C55" s="5" t="s">
        <v>18</v>
      </c>
      <c r="D55" s="5" t="s">
        <v>19</v>
      </c>
      <c r="E55" s="5" t="s">
        <v>20</v>
      </c>
      <c r="F55" s="5" t="s">
        <v>21</v>
      </c>
      <c r="G55" s="5" t="s">
        <v>21</v>
      </c>
      <c r="H55" s="6" t="n">
        <v>46308</v>
      </c>
      <c r="I55" s="6" t="n">
        <v>46308</v>
      </c>
      <c r="J55" s="7" t="s">
        <v>186</v>
      </c>
      <c r="K55" s="5" t="s">
        <v>23</v>
      </c>
      <c r="L55" s="6" t="n">
        <v>46338</v>
      </c>
      <c r="M55" s="5" t="s">
        <v>24</v>
      </c>
      <c r="N55" s="4" t="str">
        <f aca="true">IF(L55="","",IF(L55&lt;TODAY(),"Expired","Active"))</f>
        <v>Active</v>
      </c>
    </row>
    <row r="56" customFormat="false" ht="15" hidden="false" customHeight="false" outlineLevel="0" collapsed="false">
      <c r="A56" s="4" t="s">
        <v>187</v>
      </c>
      <c r="B56" s="5" t="s">
        <v>188</v>
      </c>
      <c r="C56" s="5" t="s">
        <v>18</v>
      </c>
      <c r="D56" s="5" t="s">
        <v>113</v>
      </c>
      <c r="E56" s="5" t="s">
        <v>72</v>
      </c>
      <c r="F56" s="5" t="s">
        <v>21</v>
      </c>
      <c r="G56" s="5" t="s">
        <v>74</v>
      </c>
      <c r="H56" s="6" t="n">
        <v>46308</v>
      </c>
      <c r="I56" s="6" t="n">
        <v>46308</v>
      </c>
      <c r="J56" s="7" t="s">
        <v>189</v>
      </c>
      <c r="K56" s="5" t="s">
        <v>23</v>
      </c>
      <c r="L56" s="6" t="n">
        <v>46338</v>
      </c>
      <c r="M56" s="5" t="s">
        <v>190</v>
      </c>
      <c r="N56" s="4" t="str">
        <f aca="true">IF(L56="","",IF(L56&lt;TODAY(),"Expired","Active"))</f>
        <v>Active</v>
      </c>
    </row>
    <row r="57" customFormat="false" ht="15" hidden="false" customHeight="false" outlineLevel="0" collapsed="false">
      <c r="A57" s="4" t="s">
        <v>191</v>
      </c>
      <c r="B57" s="5" t="s">
        <v>192</v>
      </c>
      <c r="C57" s="5" t="s">
        <v>18</v>
      </c>
      <c r="D57" s="5" t="s">
        <v>19</v>
      </c>
      <c r="E57" s="5" t="s">
        <v>20</v>
      </c>
      <c r="F57" s="5" t="s">
        <v>21</v>
      </c>
      <c r="G57" s="5" t="s">
        <v>21</v>
      </c>
      <c r="H57" s="6" t="n">
        <v>46308</v>
      </c>
      <c r="I57" s="6" t="n">
        <v>46308</v>
      </c>
      <c r="J57" s="7" t="s">
        <v>193</v>
      </c>
      <c r="K57" s="5" t="s">
        <v>23</v>
      </c>
      <c r="L57" s="6" t="n">
        <v>46338</v>
      </c>
      <c r="M57" s="5" t="s">
        <v>24</v>
      </c>
      <c r="N57" s="4" t="str">
        <f aca="true">IF(L57="","",IF(L57&lt;TODAY(),"Expired","Active"))</f>
        <v>Active</v>
      </c>
    </row>
    <row r="58" customFormat="false" ht="15" hidden="false" customHeight="false" outlineLevel="0" collapsed="false">
      <c r="A58" s="4" t="s">
        <v>194</v>
      </c>
      <c r="B58" s="5" t="s">
        <v>195</v>
      </c>
      <c r="C58" s="5" t="s">
        <v>18</v>
      </c>
      <c r="D58" s="5" t="s">
        <v>19</v>
      </c>
      <c r="E58" s="5" t="s">
        <v>20</v>
      </c>
      <c r="F58" s="5" t="s">
        <v>21</v>
      </c>
      <c r="G58" s="5" t="s">
        <v>21</v>
      </c>
      <c r="H58" s="6" t="n">
        <v>46308</v>
      </c>
      <c r="I58" s="6" t="n">
        <v>46308</v>
      </c>
      <c r="J58" s="7" t="s">
        <v>196</v>
      </c>
      <c r="K58" s="5" t="s">
        <v>23</v>
      </c>
      <c r="L58" s="6" t="n">
        <v>46338</v>
      </c>
      <c r="M58" s="5" t="s">
        <v>24</v>
      </c>
      <c r="N58" s="4" t="str">
        <f aca="true">IF(L58="","",IF(L58&lt;TODAY(),"Expired","Active"))</f>
        <v>Active</v>
      </c>
    </row>
    <row r="59" customFormat="false" ht="15" hidden="false" customHeight="false" outlineLevel="0" collapsed="false">
      <c r="A59" s="4" t="s">
        <v>197</v>
      </c>
      <c r="B59" s="5" t="s">
        <v>198</v>
      </c>
      <c r="C59" s="5" t="s">
        <v>18</v>
      </c>
      <c r="D59" s="5" t="s">
        <v>19</v>
      </c>
      <c r="E59" s="5" t="s">
        <v>20</v>
      </c>
      <c r="F59" s="5" t="s">
        <v>21</v>
      </c>
      <c r="G59" s="5" t="s">
        <v>21</v>
      </c>
      <c r="H59" s="6" t="n">
        <v>46308</v>
      </c>
      <c r="I59" s="6" t="n">
        <v>46308</v>
      </c>
      <c r="J59" s="7" t="s">
        <v>199</v>
      </c>
      <c r="K59" s="5" t="s">
        <v>23</v>
      </c>
      <c r="L59" s="6" t="n">
        <v>46338</v>
      </c>
      <c r="M59" s="5" t="s">
        <v>34</v>
      </c>
      <c r="N59" s="4" t="str">
        <f aca="true">IF(L59="","",IF(L59&lt;TODAY(),"Expired","Active"))</f>
        <v>Active</v>
      </c>
    </row>
    <row r="60" customFormat="false" ht="15" hidden="false" customHeight="false" outlineLevel="0" collapsed="false">
      <c r="A60" s="4" t="s">
        <v>200</v>
      </c>
      <c r="B60" s="5" t="s">
        <v>201</v>
      </c>
      <c r="C60" s="5" t="s">
        <v>18</v>
      </c>
      <c r="D60" s="5" t="s">
        <v>19</v>
      </c>
      <c r="E60" s="5" t="s">
        <v>20</v>
      </c>
      <c r="F60" s="5" t="s">
        <v>21</v>
      </c>
      <c r="G60" s="5" t="s">
        <v>21</v>
      </c>
      <c r="H60" s="6" t="n">
        <v>46308</v>
      </c>
      <c r="I60" s="6" t="n">
        <v>46308</v>
      </c>
      <c r="J60" s="7" t="s">
        <v>202</v>
      </c>
      <c r="K60" s="5" t="s">
        <v>23</v>
      </c>
      <c r="L60" s="6" t="n">
        <v>46338</v>
      </c>
      <c r="M60" s="5" t="s">
        <v>24</v>
      </c>
      <c r="N60" s="4" t="str">
        <f aca="true">IF(L60="","",IF(L60&lt;TODAY(),"Expired","Active"))</f>
        <v>Active</v>
      </c>
    </row>
    <row r="61" customFormat="false" ht="15" hidden="false" customHeight="false" outlineLevel="0" collapsed="false">
      <c r="A61" s="4" t="s">
        <v>203</v>
      </c>
      <c r="B61" s="5" t="s">
        <v>204</v>
      </c>
      <c r="C61" s="5" t="s">
        <v>205</v>
      </c>
      <c r="D61" s="5" t="s">
        <v>206</v>
      </c>
      <c r="E61" s="5"/>
      <c r="F61" s="5" t="s">
        <v>21</v>
      </c>
      <c r="G61" s="5" t="s">
        <v>74</v>
      </c>
      <c r="H61" s="6" t="n">
        <v>46308</v>
      </c>
      <c r="I61" s="6" t="n">
        <v>46308</v>
      </c>
      <c r="J61" s="7" t="s">
        <v>207</v>
      </c>
      <c r="K61" s="5" t="s">
        <v>23</v>
      </c>
      <c r="L61" s="6" t="n">
        <v>46673</v>
      </c>
      <c r="M61" s="5" t="s">
        <v>208</v>
      </c>
      <c r="N61" s="4" t="str">
        <f aca="true">IF(L61="","",IF(L61&lt;TODAY(),"Expired","Active"))</f>
        <v>Active</v>
      </c>
    </row>
    <row r="62" customFormat="false" ht="15" hidden="false" customHeight="false" outlineLevel="0" collapsed="false">
      <c r="A62" s="4" t="s">
        <v>209</v>
      </c>
      <c r="B62" s="5" t="s">
        <v>210</v>
      </c>
      <c r="C62" s="5" t="s">
        <v>18</v>
      </c>
      <c r="D62" s="5" t="s">
        <v>19</v>
      </c>
      <c r="E62" s="5" t="s">
        <v>20</v>
      </c>
      <c r="F62" s="5" t="s">
        <v>21</v>
      </c>
      <c r="G62" s="5" t="s">
        <v>21</v>
      </c>
      <c r="H62" s="6" t="n">
        <v>46308</v>
      </c>
      <c r="I62" s="6" t="n">
        <v>46308</v>
      </c>
      <c r="J62" s="7" t="s">
        <v>211</v>
      </c>
      <c r="K62" s="5" t="s">
        <v>23</v>
      </c>
      <c r="L62" s="6" t="n">
        <v>46338</v>
      </c>
      <c r="M62" s="5" t="s">
        <v>24</v>
      </c>
      <c r="N62" s="4" t="str">
        <f aca="true">IF(L62="","",IF(L62&lt;TODAY(),"Expired","Active"))</f>
        <v>Active</v>
      </c>
    </row>
    <row r="63" customFormat="false" ht="15" hidden="false" customHeight="false" outlineLevel="0" collapsed="false">
      <c r="A63" s="4" t="s">
        <v>212</v>
      </c>
      <c r="B63" s="5" t="s">
        <v>213</v>
      </c>
      <c r="C63" s="5" t="s">
        <v>18</v>
      </c>
      <c r="D63" s="5" t="s">
        <v>19</v>
      </c>
      <c r="E63" s="5" t="s">
        <v>20</v>
      </c>
      <c r="F63" s="5" t="s">
        <v>21</v>
      </c>
      <c r="G63" s="5" t="s">
        <v>21</v>
      </c>
      <c r="H63" s="6" t="n">
        <v>46308</v>
      </c>
      <c r="I63" s="6" t="n">
        <v>46308</v>
      </c>
      <c r="J63" s="7" t="s">
        <v>214</v>
      </c>
      <c r="K63" s="5" t="s">
        <v>23</v>
      </c>
      <c r="L63" s="6" t="n">
        <v>46338</v>
      </c>
      <c r="M63" s="5" t="s">
        <v>24</v>
      </c>
      <c r="N63" s="4" t="str">
        <f aca="true">IF(L63="","",IF(L63&lt;TODAY(),"Expired","Active"))</f>
        <v>Active</v>
      </c>
    </row>
    <row r="64" customFormat="false" ht="15" hidden="false" customHeight="false" outlineLevel="0" collapsed="false">
      <c r="A64" s="4" t="s">
        <v>215</v>
      </c>
      <c r="B64" s="5" t="s">
        <v>216</v>
      </c>
      <c r="C64" s="5" t="s">
        <v>18</v>
      </c>
      <c r="D64" s="5" t="s">
        <v>19</v>
      </c>
      <c r="E64" s="5" t="s">
        <v>20</v>
      </c>
      <c r="F64" s="5" t="s">
        <v>21</v>
      </c>
      <c r="G64" s="5" t="s">
        <v>21</v>
      </c>
      <c r="H64" s="6" t="n">
        <v>46308</v>
      </c>
      <c r="I64" s="6" t="n">
        <v>46308</v>
      </c>
      <c r="J64" s="7" t="s">
        <v>217</v>
      </c>
      <c r="K64" s="5" t="s">
        <v>23</v>
      </c>
      <c r="L64" s="6" t="n">
        <v>46338</v>
      </c>
      <c r="M64" s="5" t="s">
        <v>34</v>
      </c>
      <c r="N64" s="4" t="str">
        <f aca="true">IF(L64="","",IF(L64&lt;TODAY(),"Expired","Active"))</f>
        <v>Active</v>
      </c>
    </row>
    <row r="65" customFormat="false" ht="15" hidden="false" customHeight="false" outlineLevel="0" collapsed="false">
      <c r="A65" s="4" t="s">
        <v>218</v>
      </c>
      <c r="B65" s="5" t="s">
        <v>219</v>
      </c>
      <c r="C65" s="5" t="s">
        <v>157</v>
      </c>
      <c r="D65" s="5" t="s">
        <v>158</v>
      </c>
      <c r="E65" s="5" t="s">
        <v>20</v>
      </c>
      <c r="F65" s="5" t="s">
        <v>21</v>
      </c>
      <c r="G65" s="5" t="s">
        <v>74</v>
      </c>
      <c r="H65" s="6" t="n">
        <v>46308</v>
      </c>
      <c r="I65" s="6" t="n">
        <v>46308</v>
      </c>
      <c r="J65" s="7" t="s">
        <v>220</v>
      </c>
      <c r="K65" s="5" t="s">
        <v>23</v>
      </c>
      <c r="L65" s="6" t="n">
        <v>46338</v>
      </c>
      <c r="M65" s="5" t="s">
        <v>221</v>
      </c>
      <c r="N65" s="4" t="str">
        <f aca="true">IF(L65="","",IF(L65&lt;TODAY(),"Expired","Active"))</f>
        <v>Active</v>
      </c>
    </row>
    <row r="66" customFormat="false" ht="15" hidden="false" customHeight="false" outlineLevel="0" collapsed="false">
      <c r="A66" s="4" t="s">
        <v>222</v>
      </c>
      <c r="B66" s="5" t="s">
        <v>223</v>
      </c>
      <c r="C66" s="5" t="s">
        <v>157</v>
      </c>
      <c r="D66" s="5" t="s">
        <v>224</v>
      </c>
      <c r="E66" s="5" t="s">
        <v>20</v>
      </c>
      <c r="F66" s="5" t="s">
        <v>21</v>
      </c>
      <c r="G66" s="5" t="s">
        <v>21</v>
      </c>
      <c r="H66" s="6" t="n">
        <v>46308</v>
      </c>
      <c r="I66" s="6" t="n">
        <v>46308</v>
      </c>
      <c r="J66" s="7" t="s">
        <v>225</v>
      </c>
      <c r="K66" s="5" t="s">
        <v>23</v>
      </c>
      <c r="L66" s="6" t="n">
        <v>46338</v>
      </c>
      <c r="M66" s="5" t="s">
        <v>221</v>
      </c>
      <c r="N66" s="4" t="str">
        <f aca="true">IF(L66="","",IF(L66&lt;TODAY(),"Expired","Active"))</f>
        <v>Active</v>
      </c>
    </row>
    <row r="67" customFormat="false" ht="15" hidden="false" customHeight="false" outlineLevel="0" collapsed="false">
      <c r="A67" s="4" t="s">
        <v>226</v>
      </c>
      <c r="B67" s="5" t="s">
        <v>227</v>
      </c>
      <c r="C67" s="5" t="s">
        <v>157</v>
      </c>
      <c r="D67" s="5" t="s">
        <v>224</v>
      </c>
      <c r="E67" s="5" t="s">
        <v>20</v>
      </c>
      <c r="F67" s="5" t="s">
        <v>21</v>
      </c>
      <c r="G67" s="5" t="s">
        <v>21</v>
      </c>
      <c r="H67" s="6" t="n">
        <v>46308</v>
      </c>
      <c r="I67" s="6" t="n">
        <v>46308</v>
      </c>
      <c r="J67" s="7" t="s">
        <v>228</v>
      </c>
      <c r="K67" s="5" t="s">
        <v>23</v>
      </c>
      <c r="L67" s="6" t="n">
        <v>46338</v>
      </c>
      <c r="M67" s="5" t="s">
        <v>221</v>
      </c>
      <c r="N67" s="4" t="str">
        <f aca="true">IF(L67="","",IF(L67&lt;TODAY(),"Expired","Active"))</f>
        <v>Active</v>
      </c>
    </row>
    <row r="68" customFormat="false" ht="15" hidden="false" customHeight="false" outlineLevel="0" collapsed="false">
      <c r="A68" s="4" t="s">
        <v>229</v>
      </c>
      <c r="B68" s="5" t="s">
        <v>230</v>
      </c>
      <c r="C68" s="5" t="s">
        <v>157</v>
      </c>
      <c r="D68" s="5" t="s">
        <v>231</v>
      </c>
      <c r="E68" s="5" t="s">
        <v>20</v>
      </c>
      <c r="F68" s="5" t="s">
        <v>74</v>
      </c>
      <c r="G68" s="5" t="s">
        <v>74</v>
      </c>
      <c r="H68" s="6" t="n">
        <v>46308</v>
      </c>
      <c r="I68" s="6" t="n">
        <v>46308</v>
      </c>
      <c r="J68" s="7" t="s">
        <v>232</v>
      </c>
      <c r="K68" s="5" t="s">
        <v>23</v>
      </c>
      <c r="L68" s="6" t="n">
        <v>46338</v>
      </c>
      <c r="M68" s="5" t="s">
        <v>221</v>
      </c>
      <c r="N68" s="4" t="str">
        <f aca="true">IF(L68="","",IF(L68&lt;TODAY(),"Expired","Active"))</f>
        <v>Active</v>
      </c>
    </row>
    <row r="69" customFormat="false" ht="15" hidden="false" customHeight="false" outlineLevel="0" collapsed="false">
      <c r="A69" s="4" t="s">
        <v>233</v>
      </c>
      <c r="B69" s="5" t="s">
        <v>234</v>
      </c>
      <c r="C69" s="5" t="s">
        <v>157</v>
      </c>
      <c r="D69" s="5" t="s">
        <v>235</v>
      </c>
      <c r="E69" s="5" t="s">
        <v>20</v>
      </c>
      <c r="F69" s="5" t="s">
        <v>74</v>
      </c>
      <c r="G69" s="5" t="s">
        <v>21</v>
      </c>
      <c r="H69" s="6" t="n">
        <v>46308</v>
      </c>
      <c r="I69" s="6" t="n">
        <v>46308</v>
      </c>
      <c r="J69" s="7" t="s">
        <v>236</v>
      </c>
      <c r="K69" s="5" t="s">
        <v>23</v>
      </c>
      <c r="L69" s="6" t="n">
        <v>46338</v>
      </c>
      <c r="M69" s="5" t="s">
        <v>221</v>
      </c>
      <c r="N69" s="4" t="str">
        <f aca="true">IF(L69="","",IF(L69&lt;TODAY(),"Expired","Active"))</f>
        <v>Active</v>
      </c>
    </row>
    <row r="70" customFormat="false" ht="15" hidden="false" customHeight="false" outlineLevel="0" collapsed="false">
      <c r="A70" s="4" t="s">
        <v>237</v>
      </c>
      <c r="B70" s="5" t="s">
        <v>238</v>
      </c>
      <c r="C70" s="5" t="s">
        <v>157</v>
      </c>
      <c r="D70" s="5" t="s">
        <v>239</v>
      </c>
      <c r="E70" s="5" t="s">
        <v>20</v>
      </c>
      <c r="F70" s="5" t="s">
        <v>21</v>
      </c>
      <c r="G70" s="5" t="s">
        <v>21</v>
      </c>
      <c r="H70" s="6" t="n">
        <v>46308</v>
      </c>
      <c r="I70" s="6" t="n">
        <v>46308</v>
      </c>
      <c r="J70" s="7" t="s">
        <v>240</v>
      </c>
      <c r="K70" s="5" t="s">
        <v>23</v>
      </c>
      <c r="L70" s="6" t="n">
        <v>46338</v>
      </c>
      <c r="M70" s="5" t="s">
        <v>221</v>
      </c>
      <c r="N70" s="4" t="str">
        <f aca="true">IF(L70="","",IF(L70&lt;TODAY(),"Expired","Active"))</f>
        <v>Active</v>
      </c>
    </row>
    <row r="71" customFormat="false" ht="15" hidden="false" customHeight="false" outlineLevel="0" collapsed="false">
      <c r="A71" s="4" t="s">
        <v>241</v>
      </c>
      <c r="B71" s="5" t="s">
        <v>242</v>
      </c>
      <c r="C71" s="5" t="s">
        <v>157</v>
      </c>
      <c r="D71" s="5" t="s">
        <v>243</v>
      </c>
      <c r="E71" s="5" t="s">
        <v>20</v>
      </c>
      <c r="F71" s="5" t="s">
        <v>73</v>
      </c>
      <c r="G71" s="5" t="s">
        <v>21</v>
      </c>
      <c r="H71" s="6" t="n">
        <v>46308</v>
      </c>
      <c r="I71" s="6" t="n">
        <v>46308</v>
      </c>
      <c r="J71" s="7" t="s">
        <v>244</v>
      </c>
      <c r="K71" s="5" t="s">
        <v>23</v>
      </c>
      <c r="L71" s="6" t="n">
        <v>46338</v>
      </c>
      <c r="M71" s="5" t="s">
        <v>221</v>
      </c>
      <c r="N71" s="4" t="str">
        <f aca="true">IF(L71="","",IF(L71&lt;TODAY(),"Expired","Active"))</f>
        <v>Active</v>
      </c>
    </row>
    <row r="72" customFormat="false" ht="15" hidden="false" customHeight="false" outlineLevel="0" collapsed="false">
      <c r="A72" s="4" t="s">
        <v>245</v>
      </c>
      <c r="B72" s="5" t="s">
        <v>246</v>
      </c>
      <c r="C72" s="5" t="s">
        <v>157</v>
      </c>
      <c r="D72" s="5" t="s">
        <v>247</v>
      </c>
      <c r="E72" s="5" t="s">
        <v>20</v>
      </c>
      <c r="F72" s="5" t="s">
        <v>21</v>
      </c>
      <c r="G72" s="5" t="s">
        <v>74</v>
      </c>
      <c r="H72" s="6" t="n">
        <v>46308</v>
      </c>
      <c r="I72" s="6" t="n">
        <v>46308</v>
      </c>
      <c r="J72" s="7" t="s">
        <v>248</v>
      </c>
      <c r="K72" s="5" t="s">
        <v>23</v>
      </c>
      <c r="L72" s="6" t="n">
        <v>46338</v>
      </c>
      <c r="M72" s="5" t="s">
        <v>221</v>
      </c>
      <c r="N72" s="4" t="str">
        <f aca="true">IF(L72="","",IF(L72&lt;TODAY(),"Expired","Active"))</f>
        <v>Active</v>
      </c>
    </row>
    <row r="73" customFormat="false" ht="15" hidden="false" customHeight="false" outlineLevel="0" collapsed="false">
      <c r="A73" s="4" t="s">
        <v>249</v>
      </c>
      <c r="B73" s="5" t="s">
        <v>250</v>
      </c>
      <c r="C73" s="5" t="s">
        <v>157</v>
      </c>
      <c r="D73" s="5" t="s">
        <v>224</v>
      </c>
      <c r="E73" s="5" t="s">
        <v>20</v>
      </c>
      <c r="F73" s="5" t="s">
        <v>73</v>
      </c>
      <c r="G73" s="5" t="s">
        <v>21</v>
      </c>
      <c r="H73" s="6" t="n">
        <v>46308</v>
      </c>
      <c r="I73" s="6" t="n">
        <v>46308</v>
      </c>
      <c r="J73" s="7" t="s">
        <v>251</v>
      </c>
      <c r="K73" s="5" t="s">
        <v>23</v>
      </c>
      <c r="L73" s="6" t="n">
        <v>46338</v>
      </c>
      <c r="M73" s="5" t="s">
        <v>221</v>
      </c>
      <c r="N73" s="4" t="str">
        <f aca="true">IF(L73="","",IF(L73&lt;TODAY(),"Expired","Active"))</f>
        <v>Active</v>
      </c>
    </row>
    <row r="74" customFormat="false" ht="15" hidden="false" customHeight="false" outlineLevel="0" collapsed="false">
      <c r="A74" s="4" t="s">
        <v>252</v>
      </c>
      <c r="B74" s="5" t="s">
        <v>253</v>
      </c>
      <c r="C74" s="5" t="s">
        <v>157</v>
      </c>
      <c r="D74" s="5" t="s">
        <v>254</v>
      </c>
      <c r="E74" s="5" t="s">
        <v>20</v>
      </c>
      <c r="F74" s="5" t="s">
        <v>74</v>
      </c>
      <c r="G74" s="5" t="s">
        <v>21</v>
      </c>
      <c r="H74" s="6" t="n">
        <v>46308</v>
      </c>
      <c r="I74" s="6" t="n">
        <v>46308</v>
      </c>
      <c r="J74" s="7" t="s">
        <v>255</v>
      </c>
      <c r="K74" s="5" t="s">
        <v>23</v>
      </c>
      <c r="L74" s="6" t="n">
        <v>46338</v>
      </c>
      <c r="M74" s="5" t="s">
        <v>221</v>
      </c>
      <c r="N74" s="4" t="str">
        <f aca="true">IF(L74="","",IF(L74&lt;TODAY(),"Expired","Active"))</f>
        <v>Active</v>
      </c>
    </row>
    <row r="75" customFormat="false" ht="15" hidden="false" customHeight="false" outlineLevel="0" collapsed="false">
      <c r="A75" s="4" t="s">
        <v>256</v>
      </c>
      <c r="B75" s="5" t="s">
        <v>257</v>
      </c>
      <c r="C75" s="5" t="s">
        <v>157</v>
      </c>
      <c r="D75" s="5" t="s">
        <v>254</v>
      </c>
      <c r="E75" s="5" t="s">
        <v>20</v>
      </c>
      <c r="F75" s="5" t="s">
        <v>74</v>
      </c>
      <c r="G75" s="5" t="s">
        <v>21</v>
      </c>
      <c r="H75" s="6" t="n">
        <v>46308</v>
      </c>
      <c r="I75" s="6" t="n">
        <v>46308</v>
      </c>
      <c r="J75" s="7" t="s">
        <v>258</v>
      </c>
      <c r="K75" s="5" t="s">
        <v>23</v>
      </c>
      <c r="L75" s="6" t="n">
        <v>46338</v>
      </c>
      <c r="M75" s="5" t="s">
        <v>221</v>
      </c>
      <c r="N75" s="4" t="str">
        <f aca="true">IF(L75="","",IF(L75&lt;TODAY(),"Expired","Active"))</f>
        <v>Active</v>
      </c>
    </row>
    <row r="76" customFormat="false" ht="15" hidden="false" customHeight="false" outlineLevel="0" collapsed="false">
      <c r="A76" s="4" t="s">
        <v>259</v>
      </c>
      <c r="B76" s="5" t="s">
        <v>260</v>
      </c>
      <c r="C76" s="5" t="s">
        <v>157</v>
      </c>
      <c r="D76" s="5" t="s">
        <v>254</v>
      </c>
      <c r="E76" s="5" t="s">
        <v>20</v>
      </c>
      <c r="F76" s="5" t="s">
        <v>74</v>
      </c>
      <c r="G76" s="5" t="s">
        <v>21</v>
      </c>
      <c r="H76" s="6" t="n">
        <v>46308</v>
      </c>
      <c r="I76" s="6" t="n">
        <v>46308</v>
      </c>
      <c r="J76" s="7" t="s">
        <v>261</v>
      </c>
      <c r="K76" s="5" t="s">
        <v>23</v>
      </c>
      <c r="L76" s="6" t="n">
        <v>46338</v>
      </c>
      <c r="M76" s="5" t="s">
        <v>221</v>
      </c>
      <c r="N76" s="4" t="str">
        <f aca="true">IF(L76="","",IF(L76&lt;TODAY(),"Expired","Active"))</f>
        <v>Active</v>
      </c>
    </row>
    <row r="77" customFormat="false" ht="15" hidden="false" customHeight="false" outlineLevel="0" collapsed="false">
      <c r="A77" s="4" t="s">
        <v>262</v>
      </c>
      <c r="B77" s="5" t="s">
        <v>263</v>
      </c>
      <c r="C77" s="5" t="s">
        <v>157</v>
      </c>
      <c r="D77" s="5" t="s">
        <v>254</v>
      </c>
      <c r="E77" s="5" t="s">
        <v>20</v>
      </c>
      <c r="F77" s="5" t="s">
        <v>74</v>
      </c>
      <c r="G77" s="5" t="s">
        <v>21</v>
      </c>
      <c r="H77" s="6" t="n">
        <v>46308</v>
      </c>
      <c r="I77" s="6" t="n">
        <v>46308</v>
      </c>
      <c r="J77" s="7" t="s">
        <v>264</v>
      </c>
      <c r="K77" s="5" t="s">
        <v>23</v>
      </c>
      <c r="L77" s="6" t="n">
        <v>46338</v>
      </c>
      <c r="M77" s="5" t="s">
        <v>221</v>
      </c>
      <c r="N77" s="4" t="str">
        <f aca="true">IF(L77="","",IF(L77&lt;TODAY(),"Expired","Active"))</f>
        <v>Active</v>
      </c>
    </row>
    <row r="78" customFormat="false" ht="15" hidden="false" customHeight="false" outlineLevel="0" collapsed="false">
      <c r="A78" s="4" t="s">
        <v>265</v>
      </c>
      <c r="B78" s="5" t="s">
        <v>266</v>
      </c>
      <c r="C78" s="5" t="s">
        <v>157</v>
      </c>
      <c r="D78" s="5" t="s">
        <v>254</v>
      </c>
      <c r="E78" s="5" t="s">
        <v>20</v>
      </c>
      <c r="F78" s="5" t="s">
        <v>74</v>
      </c>
      <c r="G78" s="5" t="s">
        <v>21</v>
      </c>
      <c r="H78" s="6" t="n">
        <v>46308</v>
      </c>
      <c r="I78" s="6" t="n">
        <v>46308</v>
      </c>
      <c r="J78" s="7" t="s">
        <v>267</v>
      </c>
      <c r="K78" s="5" t="s">
        <v>23</v>
      </c>
      <c r="L78" s="6" t="n">
        <v>46338</v>
      </c>
      <c r="M78" s="5" t="s">
        <v>221</v>
      </c>
      <c r="N78" s="4" t="str">
        <f aca="true">IF(L78="","",IF(L78&lt;TODAY(),"Expired","Active"))</f>
        <v>Active</v>
      </c>
    </row>
    <row r="79" customFormat="false" ht="15" hidden="false" customHeight="false" outlineLevel="0" collapsed="false">
      <c r="A79" s="4" t="s">
        <v>268</v>
      </c>
      <c r="B79" s="5" t="s">
        <v>269</v>
      </c>
      <c r="C79" s="5" t="s">
        <v>157</v>
      </c>
      <c r="D79" s="5" t="s">
        <v>254</v>
      </c>
      <c r="E79" s="5" t="s">
        <v>20</v>
      </c>
      <c r="F79" s="5" t="s">
        <v>74</v>
      </c>
      <c r="G79" s="5" t="s">
        <v>21</v>
      </c>
      <c r="H79" s="6" t="n">
        <v>46308</v>
      </c>
      <c r="I79" s="6" t="n">
        <v>46308</v>
      </c>
      <c r="J79" s="7" t="s">
        <v>270</v>
      </c>
      <c r="K79" s="5" t="s">
        <v>23</v>
      </c>
      <c r="L79" s="6" t="n">
        <v>46338</v>
      </c>
      <c r="M79" s="5" t="s">
        <v>221</v>
      </c>
      <c r="N79" s="4" t="str">
        <f aca="true">IF(L79="","",IF(L79&lt;TODAY(),"Expired","Active"))</f>
        <v>Active</v>
      </c>
    </row>
    <row r="80" customFormat="false" ht="15" hidden="false" customHeight="false" outlineLevel="0" collapsed="false">
      <c r="A80" s="4" t="s">
        <v>271</v>
      </c>
      <c r="B80" s="5" t="s">
        <v>272</v>
      </c>
      <c r="C80" s="5" t="s">
        <v>157</v>
      </c>
      <c r="D80" s="5" t="s">
        <v>224</v>
      </c>
      <c r="E80" s="5" t="s">
        <v>20</v>
      </c>
      <c r="F80" s="5" t="s">
        <v>21</v>
      </c>
      <c r="G80" s="5" t="s">
        <v>21</v>
      </c>
      <c r="H80" s="6" t="n">
        <v>46308</v>
      </c>
      <c r="I80" s="6" t="n">
        <v>46308</v>
      </c>
      <c r="J80" s="7" t="s">
        <v>273</v>
      </c>
      <c r="K80" s="5" t="s">
        <v>23</v>
      </c>
      <c r="L80" s="6" t="n">
        <v>46338</v>
      </c>
      <c r="M80" s="5" t="s">
        <v>221</v>
      </c>
      <c r="N80" s="4" t="str">
        <f aca="true">IF(L80="","",IF(L80&lt;TODAY(),"Expired","Active"))</f>
        <v>Active</v>
      </c>
    </row>
    <row r="81" customFormat="false" ht="15" hidden="false" customHeight="false" outlineLevel="0" collapsed="false">
      <c r="A81" s="4" t="s">
        <v>274</v>
      </c>
      <c r="B81" s="5" t="s">
        <v>275</v>
      </c>
      <c r="C81" s="5" t="s">
        <v>157</v>
      </c>
      <c r="D81" s="5" t="s">
        <v>276</v>
      </c>
      <c r="E81" s="5" t="s">
        <v>20</v>
      </c>
      <c r="F81" s="5" t="s">
        <v>21</v>
      </c>
      <c r="G81" s="5" t="s">
        <v>21</v>
      </c>
      <c r="H81" s="6" t="n">
        <v>46308</v>
      </c>
      <c r="I81" s="6" t="n">
        <v>46308</v>
      </c>
      <c r="J81" s="7" t="s">
        <v>277</v>
      </c>
      <c r="K81" s="5" t="s">
        <v>23</v>
      </c>
      <c r="L81" s="6" t="n">
        <v>46338</v>
      </c>
      <c r="M81" s="5" t="s">
        <v>221</v>
      </c>
      <c r="N81" s="4" t="str">
        <f aca="true">IF(L81="","",IF(L81&lt;TODAY(),"Expired","Active"))</f>
        <v>Active</v>
      </c>
    </row>
    <row r="82" customFormat="false" ht="15" hidden="false" customHeight="false" outlineLevel="0" collapsed="false">
      <c r="A82" s="4" t="s">
        <v>278</v>
      </c>
      <c r="B82" s="5" t="s">
        <v>279</v>
      </c>
      <c r="C82" s="5" t="s">
        <v>157</v>
      </c>
      <c r="D82" s="5" t="s">
        <v>280</v>
      </c>
      <c r="E82" s="5" t="s">
        <v>20</v>
      </c>
      <c r="F82" s="5" t="s">
        <v>21</v>
      </c>
      <c r="G82" s="5" t="s">
        <v>21</v>
      </c>
      <c r="H82" s="6" t="n">
        <v>46308</v>
      </c>
      <c r="I82" s="6" t="n">
        <v>46308</v>
      </c>
      <c r="J82" s="7" t="s">
        <v>281</v>
      </c>
      <c r="K82" s="5" t="s">
        <v>23</v>
      </c>
      <c r="L82" s="6" t="n">
        <v>46338</v>
      </c>
      <c r="M82" s="5" t="s">
        <v>221</v>
      </c>
      <c r="N82" s="4" t="str">
        <f aca="true">IF(L82="","",IF(L82&lt;TODAY(),"Expired","Active"))</f>
        <v>Active</v>
      </c>
    </row>
    <row r="83" customFormat="false" ht="15" hidden="false" customHeight="false" outlineLevel="0" collapsed="false">
      <c r="A83" s="4" t="s">
        <v>282</v>
      </c>
      <c r="B83" s="5" t="s">
        <v>283</v>
      </c>
      <c r="C83" s="5" t="s">
        <v>157</v>
      </c>
      <c r="D83" s="5" t="s">
        <v>280</v>
      </c>
      <c r="E83" s="5" t="s">
        <v>20</v>
      </c>
      <c r="F83" s="5" t="s">
        <v>21</v>
      </c>
      <c r="G83" s="5" t="s">
        <v>21</v>
      </c>
      <c r="H83" s="6" t="n">
        <v>46308</v>
      </c>
      <c r="I83" s="6" t="n">
        <v>46308</v>
      </c>
      <c r="J83" s="7" t="s">
        <v>284</v>
      </c>
      <c r="K83" s="5" t="s">
        <v>23</v>
      </c>
      <c r="L83" s="6" t="n">
        <v>46338</v>
      </c>
      <c r="M83" s="5" t="s">
        <v>221</v>
      </c>
      <c r="N83" s="4" t="str">
        <f aca="true">IF(L83="","",IF(L83&lt;TODAY(),"Expired","Active"))</f>
        <v>Active</v>
      </c>
    </row>
    <row r="84" customFormat="false" ht="15" hidden="false" customHeight="false" outlineLevel="0" collapsed="false">
      <c r="A84" s="4" t="s">
        <v>285</v>
      </c>
      <c r="B84" s="5" t="s">
        <v>286</v>
      </c>
      <c r="C84" s="5" t="s">
        <v>157</v>
      </c>
      <c r="D84" s="5" t="s">
        <v>276</v>
      </c>
      <c r="E84" s="5" t="s">
        <v>20</v>
      </c>
      <c r="F84" s="5" t="s">
        <v>74</v>
      </c>
      <c r="G84" s="5" t="s">
        <v>21</v>
      </c>
      <c r="H84" s="6" t="n">
        <v>46308</v>
      </c>
      <c r="I84" s="6" t="n">
        <v>46308</v>
      </c>
      <c r="J84" s="7" t="s">
        <v>287</v>
      </c>
      <c r="K84" s="5" t="s">
        <v>23</v>
      </c>
      <c r="L84" s="6" t="n">
        <v>46338</v>
      </c>
      <c r="M84" s="5" t="s">
        <v>221</v>
      </c>
      <c r="N84" s="4" t="str">
        <f aca="true">IF(L84="","",IF(L84&lt;TODAY(),"Expired","Active"))</f>
        <v>Active</v>
      </c>
    </row>
    <row r="85" customFormat="false" ht="15" hidden="false" customHeight="false" outlineLevel="0" collapsed="false">
      <c r="A85" s="4" t="s">
        <v>288</v>
      </c>
      <c r="B85" s="5" t="s">
        <v>289</v>
      </c>
      <c r="C85" s="5" t="s">
        <v>157</v>
      </c>
      <c r="D85" s="5" t="s">
        <v>276</v>
      </c>
      <c r="E85" s="5" t="s">
        <v>20</v>
      </c>
      <c r="F85" s="5" t="s">
        <v>21</v>
      </c>
      <c r="G85" s="5" t="s">
        <v>21</v>
      </c>
      <c r="H85" s="6" t="n">
        <v>46308</v>
      </c>
      <c r="I85" s="6" t="n">
        <v>46308</v>
      </c>
      <c r="J85" s="7" t="s">
        <v>290</v>
      </c>
      <c r="K85" s="5" t="s">
        <v>23</v>
      </c>
      <c r="L85" s="6" t="n">
        <v>46338</v>
      </c>
      <c r="M85" s="5" t="s">
        <v>221</v>
      </c>
      <c r="N85" s="4" t="str">
        <f aca="true">IF(L85="","",IF(L85&lt;TODAY(),"Expired","Active"))</f>
        <v>Active</v>
      </c>
    </row>
    <row r="86" customFormat="false" ht="15" hidden="false" customHeight="false" outlineLevel="0" collapsed="false">
      <c r="A86" s="4" t="s">
        <v>291</v>
      </c>
      <c r="B86" s="5" t="s">
        <v>292</v>
      </c>
      <c r="C86" s="5" t="s">
        <v>157</v>
      </c>
      <c r="D86" s="5" t="s">
        <v>276</v>
      </c>
      <c r="E86" s="5" t="s">
        <v>20</v>
      </c>
      <c r="F86" s="5" t="s">
        <v>21</v>
      </c>
      <c r="G86" s="5" t="s">
        <v>21</v>
      </c>
      <c r="H86" s="6" t="n">
        <v>46308</v>
      </c>
      <c r="I86" s="6" t="n">
        <v>46308</v>
      </c>
      <c r="J86" s="7" t="s">
        <v>293</v>
      </c>
      <c r="K86" s="5" t="s">
        <v>23</v>
      </c>
      <c r="L86" s="6" t="n">
        <v>46338</v>
      </c>
      <c r="M86" s="5" t="s">
        <v>221</v>
      </c>
      <c r="N86" s="4" t="str">
        <f aca="true">IF(L86="","",IF(L86&lt;TODAY(),"Expired","Active"))</f>
        <v>Active</v>
      </c>
    </row>
    <row r="87" customFormat="false" ht="15" hidden="false" customHeight="false" outlineLevel="0" collapsed="false">
      <c r="A87" s="4" t="s">
        <v>294</v>
      </c>
      <c r="B87" s="5" t="s">
        <v>295</v>
      </c>
      <c r="C87" s="5" t="s">
        <v>157</v>
      </c>
      <c r="D87" s="5" t="s">
        <v>296</v>
      </c>
      <c r="E87" s="5" t="s">
        <v>20</v>
      </c>
      <c r="F87" s="5" t="s">
        <v>21</v>
      </c>
      <c r="G87" s="5" t="s">
        <v>21</v>
      </c>
      <c r="H87" s="6" t="n">
        <v>46308</v>
      </c>
      <c r="I87" s="6" t="n">
        <v>46308</v>
      </c>
      <c r="J87" s="7" t="s">
        <v>297</v>
      </c>
      <c r="K87" s="5" t="s">
        <v>23</v>
      </c>
      <c r="L87" s="6" t="n">
        <v>46338</v>
      </c>
      <c r="M87" s="5" t="s">
        <v>221</v>
      </c>
      <c r="N87" s="4" t="str">
        <f aca="true">IF(L87="","",IF(L87&lt;TODAY(),"Expired","Active"))</f>
        <v>Active</v>
      </c>
    </row>
    <row r="88" customFormat="false" ht="15" hidden="false" customHeight="false" outlineLevel="0" collapsed="false">
      <c r="A88" s="4" t="s">
        <v>298</v>
      </c>
      <c r="B88" s="5" t="s">
        <v>299</v>
      </c>
      <c r="C88" s="5" t="s">
        <v>157</v>
      </c>
      <c r="D88" s="5" t="s">
        <v>300</v>
      </c>
      <c r="E88" s="5" t="s">
        <v>20</v>
      </c>
      <c r="F88" s="5" t="s">
        <v>21</v>
      </c>
      <c r="G88" s="5" t="s">
        <v>21</v>
      </c>
      <c r="H88" s="6" t="n">
        <v>46308</v>
      </c>
      <c r="I88" s="6" t="n">
        <v>46308</v>
      </c>
      <c r="J88" s="7" t="s">
        <v>301</v>
      </c>
      <c r="K88" s="5" t="s">
        <v>23</v>
      </c>
      <c r="L88" s="6" t="n">
        <v>46338</v>
      </c>
      <c r="M88" s="5" t="s">
        <v>221</v>
      </c>
      <c r="N88" s="4" t="str">
        <f aca="true">IF(L88="","",IF(L88&lt;TODAY(),"Expired","Active"))</f>
        <v>Active</v>
      </c>
    </row>
    <row r="89" customFormat="false" ht="15" hidden="false" customHeight="false" outlineLevel="0" collapsed="false">
      <c r="A89" s="4" t="s">
        <v>302</v>
      </c>
      <c r="B89" s="5" t="s">
        <v>303</v>
      </c>
      <c r="C89" s="5" t="s">
        <v>157</v>
      </c>
      <c r="D89" s="5" t="s">
        <v>300</v>
      </c>
      <c r="E89" s="5" t="s">
        <v>20</v>
      </c>
      <c r="F89" s="5" t="s">
        <v>21</v>
      </c>
      <c r="G89" s="5" t="s">
        <v>21</v>
      </c>
      <c r="H89" s="6" t="n">
        <v>46308</v>
      </c>
      <c r="I89" s="6" t="n">
        <v>46308</v>
      </c>
      <c r="J89" s="7" t="s">
        <v>304</v>
      </c>
      <c r="K89" s="5" t="s">
        <v>23</v>
      </c>
      <c r="L89" s="6" t="n">
        <v>46338</v>
      </c>
      <c r="M89" s="5" t="s">
        <v>221</v>
      </c>
      <c r="N89" s="4" t="str">
        <f aca="true">IF(L89="","",IF(L89&lt;TODAY(),"Expired","Active"))</f>
        <v>Active</v>
      </c>
    </row>
    <row r="90" customFormat="false" ht="15" hidden="false" customHeight="false" outlineLevel="0" collapsed="false">
      <c r="A90" s="4" t="s">
        <v>305</v>
      </c>
      <c r="B90" s="5" t="s">
        <v>306</v>
      </c>
      <c r="C90" s="5" t="s">
        <v>157</v>
      </c>
      <c r="D90" s="5" t="s">
        <v>224</v>
      </c>
      <c r="E90" s="5" t="s">
        <v>20</v>
      </c>
      <c r="F90" s="5" t="s">
        <v>74</v>
      </c>
      <c r="G90" s="5" t="s">
        <v>21</v>
      </c>
      <c r="H90" s="6" t="n">
        <v>46308</v>
      </c>
      <c r="I90" s="6" t="n">
        <v>46308</v>
      </c>
      <c r="J90" s="7" t="s">
        <v>307</v>
      </c>
      <c r="K90" s="5" t="s">
        <v>23</v>
      </c>
      <c r="L90" s="6" t="n">
        <v>46338</v>
      </c>
      <c r="M90" s="5" t="s">
        <v>221</v>
      </c>
      <c r="N90" s="4" t="str">
        <f aca="true">IF(L90="","",IF(L90&lt;TODAY(),"Expired","Active"))</f>
        <v>Active</v>
      </c>
    </row>
    <row r="91" customFormat="false" ht="15" hidden="false" customHeight="false" outlineLevel="0" collapsed="false">
      <c r="A91" s="4" t="s">
        <v>308</v>
      </c>
      <c r="B91" s="5" t="s">
        <v>309</v>
      </c>
      <c r="C91" s="5" t="s">
        <v>157</v>
      </c>
      <c r="D91" s="5" t="s">
        <v>254</v>
      </c>
      <c r="E91" s="5" t="s">
        <v>20</v>
      </c>
      <c r="F91" s="5" t="s">
        <v>21</v>
      </c>
      <c r="G91" s="5" t="s">
        <v>21</v>
      </c>
      <c r="H91" s="6" t="n">
        <v>46308</v>
      </c>
      <c r="I91" s="6" t="n">
        <v>46308</v>
      </c>
      <c r="J91" s="7" t="s">
        <v>310</v>
      </c>
      <c r="K91" s="5" t="s">
        <v>23</v>
      </c>
      <c r="L91" s="6" t="n">
        <v>46338</v>
      </c>
      <c r="M91" s="5" t="s">
        <v>221</v>
      </c>
      <c r="N91" s="4" t="str">
        <f aca="true">IF(L91="","",IF(L91&lt;TODAY(),"Expired","Active"))</f>
        <v>Active</v>
      </c>
    </row>
    <row r="92" customFormat="false" ht="15" hidden="false" customHeight="false" outlineLevel="0" collapsed="false">
      <c r="A92" s="4" t="s">
        <v>311</v>
      </c>
      <c r="B92" s="5" t="s">
        <v>312</v>
      </c>
      <c r="C92" s="5" t="s">
        <v>157</v>
      </c>
      <c r="D92" s="5" t="s">
        <v>254</v>
      </c>
      <c r="E92" s="5" t="s">
        <v>20</v>
      </c>
      <c r="F92" s="5" t="s">
        <v>21</v>
      </c>
      <c r="G92" s="5" t="s">
        <v>21</v>
      </c>
      <c r="H92" s="6" t="n">
        <v>46308</v>
      </c>
      <c r="I92" s="6" t="n">
        <v>46308</v>
      </c>
      <c r="J92" s="7" t="s">
        <v>313</v>
      </c>
      <c r="K92" s="5" t="s">
        <v>23</v>
      </c>
      <c r="L92" s="6" t="n">
        <v>46338</v>
      </c>
      <c r="M92" s="5" t="s">
        <v>221</v>
      </c>
      <c r="N92" s="4" t="str">
        <f aca="true">IF(L92="","",IF(L92&lt;TODAY(),"Expired","Active"))</f>
        <v>Active</v>
      </c>
    </row>
    <row r="93" customFormat="false" ht="15" hidden="false" customHeight="false" outlineLevel="0" collapsed="false">
      <c r="A93" s="4" t="s">
        <v>314</v>
      </c>
      <c r="B93" s="5" t="s">
        <v>315</v>
      </c>
      <c r="C93" s="5" t="s">
        <v>157</v>
      </c>
      <c r="D93" s="5" t="s">
        <v>254</v>
      </c>
      <c r="E93" s="5" t="s">
        <v>20</v>
      </c>
      <c r="F93" s="5" t="s">
        <v>21</v>
      </c>
      <c r="G93" s="5" t="s">
        <v>21</v>
      </c>
      <c r="H93" s="6" t="n">
        <v>46308</v>
      </c>
      <c r="I93" s="6" t="n">
        <v>46308</v>
      </c>
      <c r="J93" s="7" t="s">
        <v>316</v>
      </c>
      <c r="K93" s="5" t="s">
        <v>23</v>
      </c>
      <c r="L93" s="6" t="n">
        <v>46338</v>
      </c>
      <c r="M93" s="5" t="s">
        <v>221</v>
      </c>
      <c r="N93" s="4" t="str">
        <f aca="true">IF(L93="","",IF(L93&lt;TODAY(),"Expired","Active"))</f>
        <v>Active</v>
      </c>
    </row>
    <row r="94" customFormat="false" ht="15" hidden="false" customHeight="false" outlineLevel="0" collapsed="false">
      <c r="A94" s="4" t="s">
        <v>317</v>
      </c>
      <c r="B94" s="5" t="s">
        <v>318</v>
      </c>
      <c r="C94" s="5" t="s">
        <v>157</v>
      </c>
      <c r="D94" s="5" t="s">
        <v>158</v>
      </c>
      <c r="E94" s="5" t="s">
        <v>20</v>
      </c>
      <c r="F94" s="5" t="s">
        <v>21</v>
      </c>
      <c r="G94" s="5" t="s">
        <v>74</v>
      </c>
      <c r="H94" s="6" t="n">
        <v>46308</v>
      </c>
      <c r="I94" s="6" t="n">
        <v>46308</v>
      </c>
      <c r="J94" s="7" t="s">
        <v>319</v>
      </c>
      <c r="K94" s="5" t="s">
        <v>23</v>
      </c>
      <c r="L94" s="6" t="n">
        <v>46338</v>
      </c>
      <c r="M94" s="5" t="s">
        <v>221</v>
      </c>
      <c r="N94" s="4" t="str">
        <f aca="true">IF(L94="","",IF(L94&lt;TODAY(),"Expired","Active"))</f>
        <v>Active</v>
      </c>
    </row>
    <row r="95" customFormat="false" ht="15" hidden="false" customHeight="false" outlineLevel="0" collapsed="false">
      <c r="A95" s="4" t="s">
        <v>320</v>
      </c>
      <c r="B95" s="5" t="s">
        <v>321</v>
      </c>
      <c r="C95" s="5" t="s">
        <v>205</v>
      </c>
      <c r="D95" s="5" t="s">
        <v>322</v>
      </c>
      <c r="E95" s="5"/>
      <c r="F95" s="5" t="s">
        <v>21</v>
      </c>
      <c r="G95" s="5" t="s">
        <v>74</v>
      </c>
      <c r="H95" s="6" t="n">
        <v>46308</v>
      </c>
      <c r="I95" s="6" t="n">
        <v>46308</v>
      </c>
      <c r="J95" s="7" t="s">
        <v>323</v>
      </c>
      <c r="K95" s="5" t="s">
        <v>23</v>
      </c>
      <c r="L95" s="6" t="n">
        <v>46673</v>
      </c>
      <c r="M95" s="5" t="s">
        <v>324</v>
      </c>
      <c r="N95" s="4" t="str">
        <f aca="true">IF(L95="","",IF(L95&lt;TODAY(),"Expired","Active"))</f>
        <v>Active</v>
      </c>
    </row>
    <row r="96" customFormat="false" ht="15" hidden="false" customHeight="false" outlineLevel="0" collapsed="false">
      <c r="A96" s="4" t="s">
        <v>325</v>
      </c>
      <c r="B96" s="5" t="s">
        <v>326</v>
      </c>
      <c r="C96" s="5" t="s">
        <v>327</v>
      </c>
      <c r="D96" s="5" t="s">
        <v>322</v>
      </c>
      <c r="E96" s="5"/>
      <c r="F96" s="5" t="s">
        <v>21</v>
      </c>
      <c r="G96" s="5" t="s">
        <v>74</v>
      </c>
      <c r="H96" s="6" t="n">
        <v>46308</v>
      </c>
      <c r="I96" s="6" t="n">
        <v>46308</v>
      </c>
      <c r="J96" s="7" t="s">
        <v>323</v>
      </c>
      <c r="K96" s="5" t="s">
        <v>23</v>
      </c>
      <c r="L96" s="6" t="n">
        <v>46673</v>
      </c>
      <c r="M96" s="5" t="s">
        <v>324</v>
      </c>
      <c r="N96" s="4" t="str">
        <f aca="true">IF(L96="","",IF(L96&lt;TODAY(),"Expired","Active"))</f>
        <v>Active</v>
      </c>
    </row>
    <row r="97" customFormat="false" ht="15" hidden="false" customHeight="false" outlineLevel="0" collapsed="false">
      <c r="A97" s="4" t="s">
        <v>328</v>
      </c>
      <c r="B97" s="5" t="s">
        <v>329</v>
      </c>
      <c r="C97" s="5" t="s">
        <v>330</v>
      </c>
      <c r="D97" s="5" t="s">
        <v>322</v>
      </c>
      <c r="E97" s="5"/>
      <c r="F97" s="5" t="s">
        <v>21</v>
      </c>
      <c r="G97" s="5" t="s">
        <v>74</v>
      </c>
      <c r="H97" s="6" t="n">
        <v>46308</v>
      </c>
      <c r="I97" s="6" t="n">
        <v>46308</v>
      </c>
      <c r="J97" s="7" t="s">
        <v>323</v>
      </c>
      <c r="K97" s="5" t="s">
        <v>23</v>
      </c>
      <c r="L97" s="6" t="n">
        <v>46673</v>
      </c>
      <c r="M97" s="5" t="s">
        <v>324</v>
      </c>
      <c r="N97" s="4" t="str">
        <f aca="true">IF(L97="","",IF(L97&lt;TODAY(),"Expired","Active"))</f>
        <v>Active</v>
      </c>
    </row>
    <row r="98" customFormat="false" ht="15" hidden="false" customHeight="false" outlineLevel="0" collapsed="false">
      <c r="A98" s="4" t="s">
        <v>331</v>
      </c>
      <c r="B98" s="5" t="s">
        <v>332</v>
      </c>
      <c r="C98" s="5" t="s">
        <v>205</v>
      </c>
      <c r="D98" s="5" t="s">
        <v>247</v>
      </c>
      <c r="E98" s="5"/>
      <c r="F98" s="5" t="s">
        <v>21</v>
      </c>
      <c r="G98" s="5" t="s">
        <v>74</v>
      </c>
      <c r="H98" s="6" t="n">
        <v>46308</v>
      </c>
      <c r="I98" s="6" t="n">
        <v>46308</v>
      </c>
      <c r="J98" s="7" t="s">
        <v>323</v>
      </c>
      <c r="K98" s="5" t="s">
        <v>23</v>
      </c>
      <c r="L98" s="6" t="n">
        <v>46673</v>
      </c>
      <c r="M98" s="5" t="s">
        <v>333</v>
      </c>
      <c r="N98" s="4" t="str">
        <f aca="true">IF(L98="","",IF(L98&lt;TODAY(),"Expired","Active"))</f>
        <v>Active</v>
      </c>
    </row>
    <row r="99" customFormat="false" ht="15" hidden="false" customHeight="false" outlineLevel="0" collapsed="false">
      <c r="A99" s="4" t="s">
        <v>334</v>
      </c>
      <c r="B99" s="5" t="s">
        <v>335</v>
      </c>
      <c r="C99" s="5" t="s">
        <v>327</v>
      </c>
      <c r="D99" s="5" t="s">
        <v>247</v>
      </c>
      <c r="E99" s="5"/>
      <c r="F99" s="5" t="s">
        <v>21</v>
      </c>
      <c r="G99" s="5" t="s">
        <v>74</v>
      </c>
      <c r="H99" s="6" t="n">
        <v>46308</v>
      </c>
      <c r="I99" s="6" t="n">
        <v>46308</v>
      </c>
      <c r="J99" s="7" t="s">
        <v>323</v>
      </c>
      <c r="K99" s="5" t="s">
        <v>23</v>
      </c>
      <c r="L99" s="6" t="n">
        <v>46673</v>
      </c>
      <c r="M99" s="5" t="s">
        <v>333</v>
      </c>
      <c r="N99" s="4" t="str">
        <f aca="true">IF(L99="","",IF(L99&lt;TODAY(),"Expired","Active"))</f>
        <v>Active</v>
      </c>
    </row>
    <row r="100" customFormat="false" ht="15" hidden="false" customHeight="false" outlineLevel="0" collapsed="false">
      <c r="A100" s="4" t="s">
        <v>336</v>
      </c>
      <c r="B100" s="5" t="s">
        <v>337</v>
      </c>
      <c r="C100" s="5" t="s">
        <v>330</v>
      </c>
      <c r="D100" s="5" t="s">
        <v>247</v>
      </c>
      <c r="E100" s="5"/>
      <c r="F100" s="5" t="s">
        <v>21</v>
      </c>
      <c r="G100" s="5" t="s">
        <v>74</v>
      </c>
      <c r="H100" s="6" t="n">
        <v>46308</v>
      </c>
      <c r="I100" s="6" t="n">
        <v>46308</v>
      </c>
      <c r="J100" s="7" t="s">
        <v>323</v>
      </c>
      <c r="K100" s="5" t="s">
        <v>23</v>
      </c>
      <c r="L100" s="6" t="n">
        <v>46673</v>
      </c>
      <c r="M100" s="5" t="s">
        <v>333</v>
      </c>
      <c r="N100" s="4" t="str">
        <f aca="true">IF(L100="","",IF(L100&lt;TODAY(),"Expired","Active"))</f>
        <v>Active</v>
      </c>
    </row>
    <row r="101" customFormat="false" ht="15" hidden="false" customHeight="false" outlineLevel="0" collapsed="false">
      <c r="A101" s="4" t="s">
        <v>338</v>
      </c>
      <c r="B101" s="5" t="s">
        <v>339</v>
      </c>
      <c r="C101" s="5" t="s">
        <v>205</v>
      </c>
      <c r="D101" s="5" t="s">
        <v>340</v>
      </c>
      <c r="E101" s="5" t="s">
        <v>341</v>
      </c>
      <c r="F101" s="5" t="s">
        <v>21</v>
      </c>
      <c r="G101" s="5" t="s">
        <v>21</v>
      </c>
      <c r="H101" s="6" t="n">
        <v>46308</v>
      </c>
      <c r="I101" s="6" t="n">
        <v>46308</v>
      </c>
      <c r="J101" s="7" t="s">
        <v>323</v>
      </c>
      <c r="K101" s="5" t="s">
        <v>23</v>
      </c>
      <c r="L101" s="6" t="n">
        <v>46673</v>
      </c>
      <c r="M101" s="5" t="s">
        <v>342</v>
      </c>
      <c r="N101" s="4" t="str">
        <f aca="true">IF(L101="","",IF(L101&lt;TODAY(),"Expired","Active"))</f>
        <v>Active</v>
      </c>
    </row>
    <row r="102" customFormat="false" ht="15" hidden="false" customHeight="false" outlineLevel="0" collapsed="false">
      <c r="A102" s="4" t="s">
        <v>343</v>
      </c>
      <c r="B102" s="5" t="s">
        <v>344</v>
      </c>
      <c r="C102" s="5" t="s">
        <v>327</v>
      </c>
      <c r="D102" s="5" t="s">
        <v>340</v>
      </c>
      <c r="E102" s="5" t="s">
        <v>341</v>
      </c>
      <c r="F102" s="5" t="s">
        <v>21</v>
      </c>
      <c r="G102" s="5" t="s">
        <v>21</v>
      </c>
      <c r="H102" s="6" t="n">
        <v>46308</v>
      </c>
      <c r="I102" s="6" t="n">
        <v>46308</v>
      </c>
      <c r="J102" s="7" t="s">
        <v>323</v>
      </c>
      <c r="K102" s="5" t="s">
        <v>23</v>
      </c>
      <c r="L102" s="6" t="n">
        <v>46673</v>
      </c>
      <c r="M102" s="5" t="s">
        <v>342</v>
      </c>
      <c r="N102" s="4" t="str">
        <f aca="true">IF(L102="","",IF(L102&lt;TODAY(),"Expired","Active"))</f>
        <v>Active</v>
      </c>
    </row>
    <row r="103" customFormat="false" ht="15" hidden="false" customHeight="false" outlineLevel="0" collapsed="false">
      <c r="A103" s="4" t="s">
        <v>345</v>
      </c>
      <c r="B103" s="5" t="s">
        <v>346</v>
      </c>
      <c r="C103" s="5" t="s">
        <v>330</v>
      </c>
      <c r="D103" s="5" t="s">
        <v>340</v>
      </c>
      <c r="E103" s="5" t="s">
        <v>341</v>
      </c>
      <c r="F103" s="5" t="s">
        <v>21</v>
      </c>
      <c r="G103" s="5" t="s">
        <v>21</v>
      </c>
      <c r="H103" s="6" t="n">
        <v>46308</v>
      </c>
      <c r="I103" s="6" t="n">
        <v>46308</v>
      </c>
      <c r="J103" s="7" t="s">
        <v>323</v>
      </c>
      <c r="K103" s="5" t="s">
        <v>23</v>
      </c>
      <c r="L103" s="6" t="n">
        <v>46673</v>
      </c>
      <c r="M103" s="5" t="s">
        <v>342</v>
      </c>
      <c r="N103" s="4" t="str">
        <f aca="true">IF(L103="","",IF(L103&lt;TODAY(),"Expired","Active"))</f>
        <v>Active</v>
      </c>
    </row>
    <row r="104" customFormat="false" ht="15" hidden="false" customHeight="false" outlineLevel="0" collapsed="false">
      <c r="A104" s="4" t="s">
        <v>347</v>
      </c>
      <c r="B104" s="5" t="s">
        <v>348</v>
      </c>
      <c r="C104" s="5" t="s">
        <v>349</v>
      </c>
      <c r="D104" s="5" t="s">
        <v>340</v>
      </c>
      <c r="E104" s="5" t="s">
        <v>341</v>
      </c>
      <c r="F104" s="5" t="s">
        <v>74</v>
      </c>
      <c r="G104" s="5" t="s">
        <v>21</v>
      </c>
      <c r="H104" s="6" t="n">
        <v>46308</v>
      </c>
      <c r="I104" s="6" t="n">
        <v>46308</v>
      </c>
      <c r="J104" s="7" t="s">
        <v>323</v>
      </c>
      <c r="K104" s="5" t="s">
        <v>350</v>
      </c>
      <c r="L104" s="6" t="n">
        <v>46398</v>
      </c>
      <c r="M104" s="5" t="s">
        <v>351</v>
      </c>
      <c r="N104" s="4" t="str">
        <f aca="true">IF(L104="","",IF(L104&lt;TODAY(),"Expired","Active"))</f>
        <v>Active</v>
      </c>
    </row>
    <row r="105" customFormat="false" ht="15" hidden="false" customHeight="false" outlineLevel="0" collapsed="false">
      <c r="A105" s="4" t="s">
        <v>352</v>
      </c>
      <c r="B105" s="5" t="s">
        <v>353</v>
      </c>
      <c r="C105" s="5" t="s">
        <v>205</v>
      </c>
      <c r="D105" s="5" t="s">
        <v>247</v>
      </c>
      <c r="E105" s="5"/>
      <c r="F105" s="5" t="s">
        <v>21</v>
      </c>
      <c r="G105" s="5" t="s">
        <v>74</v>
      </c>
      <c r="H105" s="6" t="n">
        <v>46308</v>
      </c>
      <c r="I105" s="6" t="n">
        <v>46308</v>
      </c>
      <c r="J105" s="7" t="s">
        <v>323</v>
      </c>
      <c r="K105" s="5" t="s">
        <v>23</v>
      </c>
      <c r="L105" s="6" t="n">
        <v>46673</v>
      </c>
      <c r="M105" s="5" t="s">
        <v>354</v>
      </c>
      <c r="N105" s="4" t="str">
        <f aca="true">IF(L105="","",IF(L105&lt;TODAY(),"Expired","Active"))</f>
        <v>Active</v>
      </c>
    </row>
    <row r="106" customFormat="false" ht="15" hidden="false" customHeight="false" outlineLevel="0" collapsed="false">
      <c r="A106" s="4" t="s">
        <v>355</v>
      </c>
      <c r="B106" s="5" t="s">
        <v>356</v>
      </c>
      <c r="C106" s="5" t="s">
        <v>327</v>
      </c>
      <c r="D106" s="5" t="s">
        <v>247</v>
      </c>
      <c r="E106" s="5"/>
      <c r="F106" s="5" t="s">
        <v>21</v>
      </c>
      <c r="G106" s="5" t="s">
        <v>74</v>
      </c>
      <c r="H106" s="6" t="n">
        <v>46308</v>
      </c>
      <c r="I106" s="6" t="n">
        <v>46308</v>
      </c>
      <c r="J106" s="7" t="s">
        <v>323</v>
      </c>
      <c r="K106" s="5" t="s">
        <v>23</v>
      </c>
      <c r="L106" s="6" t="n">
        <v>46673</v>
      </c>
      <c r="M106" s="5" t="s">
        <v>354</v>
      </c>
      <c r="N106" s="4" t="str">
        <f aca="true">IF(L106="","",IF(L106&lt;TODAY(),"Expired","Active"))</f>
        <v>Active</v>
      </c>
    </row>
    <row r="107" customFormat="false" ht="15" hidden="false" customHeight="false" outlineLevel="0" collapsed="false">
      <c r="A107" s="4" t="s">
        <v>357</v>
      </c>
      <c r="B107" s="5" t="s">
        <v>358</v>
      </c>
      <c r="C107" s="5" t="s">
        <v>330</v>
      </c>
      <c r="D107" s="5" t="s">
        <v>247</v>
      </c>
      <c r="E107" s="5"/>
      <c r="F107" s="5" t="s">
        <v>21</v>
      </c>
      <c r="G107" s="5" t="s">
        <v>74</v>
      </c>
      <c r="H107" s="6" t="n">
        <v>46308</v>
      </c>
      <c r="I107" s="6" t="n">
        <v>46308</v>
      </c>
      <c r="J107" s="7" t="s">
        <v>323</v>
      </c>
      <c r="K107" s="5" t="s">
        <v>23</v>
      </c>
      <c r="L107" s="6" t="n">
        <v>46673</v>
      </c>
      <c r="M107" s="5" t="s">
        <v>354</v>
      </c>
      <c r="N107" s="4" t="str">
        <f aca="true">IF(L107="","",IF(L107&lt;TODAY(),"Expired","Active"))</f>
        <v>Active</v>
      </c>
    </row>
    <row r="108" customFormat="false" ht="15" hidden="false" customHeight="false" outlineLevel="0" collapsed="false">
      <c r="A108" s="4" t="s">
        <v>359</v>
      </c>
      <c r="B108" s="5" t="s">
        <v>360</v>
      </c>
      <c r="C108" s="5" t="s">
        <v>205</v>
      </c>
      <c r="D108" s="5" t="s">
        <v>322</v>
      </c>
      <c r="E108" s="5" t="s">
        <v>341</v>
      </c>
      <c r="F108" s="5" t="s">
        <v>21</v>
      </c>
      <c r="G108" s="5" t="s">
        <v>74</v>
      </c>
      <c r="H108" s="6" t="n">
        <v>46308</v>
      </c>
      <c r="I108" s="6" t="n">
        <v>46308</v>
      </c>
      <c r="J108" s="7" t="s">
        <v>323</v>
      </c>
      <c r="K108" s="5" t="s">
        <v>23</v>
      </c>
      <c r="L108" s="6" t="n">
        <v>46673</v>
      </c>
      <c r="M108" s="5" t="s">
        <v>361</v>
      </c>
      <c r="N108" s="4" t="str">
        <f aca="true">IF(L108="","",IF(L108&lt;TODAY(),"Expired","Active"))</f>
        <v>Active</v>
      </c>
    </row>
    <row r="109" customFormat="false" ht="15" hidden="false" customHeight="false" outlineLevel="0" collapsed="false">
      <c r="A109" s="4" t="s">
        <v>362</v>
      </c>
      <c r="B109" s="5" t="s">
        <v>363</v>
      </c>
      <c r="C109" s="5" t="s">
        <v>327</v>
      </c>
      <c r="D109" s="5" t="s">
        <v>322</v>
      </c>
      <c r="E109" s="5" t="s">
        <v>341</v>
      </c>
      <c r="F109" s="5" t="s">
        <v>21</v>
      </c>
      <c r="G109" s="5" t="s">
        <v>74</v>
      </c>
      <c r="H109" s="6" t="n">
        <v>46308</v>
      </c>
      <c r="I109" s="6" t="n">
        <v>46308</v>
      </c>
      <c r="J109" s="7" t="s">
        <v>323</v>
      </c>
      <c r="K109" s="5" t="s">
        <v>23</v>
      </c>
      <c r="L109" s="6" t="n">
        <v>46673</v>
      </c>
      <c r="M109" s="5" t="s">
        <v>361</v>
      </c>
      <c r="N109" s="4" t="str">
        <f aca="true">IF(L109="","",IF(L109&lt;TODAY(),"Expired","Active"))</f>
        <v>Active</v>
      </c>
    </row>
    <row r="110" customFormat="false" ht="15" hidden="false" customHeight="false" outlineLevel="0" collapsed="false">
      <c r="A110" s="4" t="s">
        <v>364</v>
      </c>
      <c r="B110" s="5" t="s">
        <v>365</v>
      </c>
      <c r="C110" s="5" t="s">
        <v>330</v>
      </c>
      <c r="D110" s="5" t="s">
        <v>322</v>
      </c>
      <c r="E110" s="5" t="s">
        <v>341</v>
      </c>
      <c r="F110" s="5" t="s">
        <v>21</v>
      </c>
      <c r="G110" s="5" t="s">
        <v>74</v>
      </c>
      <c r="H110" s="6" t="n">
        <v>46308</v>
      </c>
      <c r="I110" s="6" t="n">
        <v>46308</v>
      </c>
      <c r="J110" s="7" t="s">
        <v>323</v>
      </c>
      <c r="K110" s="5" t="s">
        <v>23</v>
      </c>
      <c r="L110" s="6" t="n">
        <v>46673</v>
      </c>
      <c r="M110" s="5" t="s">
        <v>361</v>
      </c>
      <c r="N110" s="4" t="str">
        <f aca="true">IF(L110="","",IF(L110&lt;TODAY(),"Expired","Active"))</f>
        <v>Active</v>
      </c>
    </row>
    <row r="111" customFormat="false" ht="15" hidden="false" customHeight="false" outlineLevel="0" collapsed="false">
      <c r="A111" s="4" t="s">
        <v>366</v>
      </c>
      <c r="B111" s="5" t="s">
        <v>367</v>
      </c>
      <c r="C111" s="5" t="s">
        <v>205</v>
      </c>
      <c r="D111" s="5" t="s">
        <v>247</v>
      </c>
      <c r="E111" s="5"/>
      <c r="F111" s="5" t="s">
        <v>21</v>
      </c>
      <c r="G111" s="5" t="s">
        <v>74</v>
      </c>
      <c r="H111" s="6" t="n">
        <v>46308</v>
      </c>
      <c r="I111" s="6" t="n">
        <v>46308</v>
      </c>
      <c r="J111" s="7" t="s">
        <v>323</v>
      </c>
      <c r="K111" s="5" t="s">
        <v>23</v>
      </c>
      <c r="L111" s="6" t="n">
        <v>46673</v>
      </c>
      <c r="M111" s="5" t="s">
        <v>368</v>
      </c>
      <c r="N111" s="4" t="str">
        <f aca="true">IF(L111="","",IF(L111&lt;TODAY(),"Expired","Active"))</f>
        <v>Active</v>
      </c>
    </row>
    <row r="112" customFormat="false" ht="15" hidden="false" customHeight="false" outlineLevel="0" collapsed="false">
      <c r="A112" s="4" t="s">
        <v>369</v>
      </c>
      <c r="B112" s="5" t="s">
        <v>370</v>
      </c>
      <c r="C112" s="5" t="s">
        <v>327</v>
      </c>
      <c r="D112" s="5" t="s">
        <v>247</v>
      </c>
      <c r="E112" s="5"/>
      <c r="F112" s="5" t="s">
        <v>21</v>
      </c>
      <c r="G112" s="5" t="s">
        <v>74</v>
      </c>
      <c r="H112" s="6" t="n">
        <v>46308</v>
      </c>
      <c r="I112" s="6" t="n">
        <v>46308</v>
      </c>
      <c r="J112" s="7" t="s">
        <v>323</v>
      </c>
      <c r="K112" s="5" t="s">
        <v>23</v>
      </c>
      <c r="L112" s="6" t="n">
        <v>46673</v>
      </c>
      <c r="M112" s="5" t="s">
        <v>368</v>
      </c>
      <c r="N112" s="4" t="str">
        <f aca="true">IF(L112="","",IF(L112&lt;TODAY(),"Expired","Active"))</f>
        <v>Active</v>
      </c>
    </row>
    <row r="113" customFormat="false" ht="15" hidden="false" customHeight="false" outlineLevel="0" collapsed="false">
      <c r="A113" s="4" t="s">
        <v>371</v>
      </c>
      <c r="B113" s="5" t="s">
        <v>372</v>
      </c>
      <c r="C113" s="5" t="s">
        <v>330</v>
      </c>
      <c r="D113" s="5" t="s">
        <v>247</v>
      </c>
      <c r="E113" s="5"/>
      <c r="F113" s="5" t="s">
        <v>21</v>
      </c>
      <c r="G113" s="5" t="s">
        <v>74</v>
      </c>
      <c r="H113" s="6" t="n">
        <v>46308</v>
      </c>
      <c r="I113" s="6" t="n">
        <v>46308</v>
      </c>
      <c r="J113" s="7" t="s">
        <v>323</v>
      </c>
      <c r="K113" s="5" t="s">
        <v>23</v>
      </c>
      <c r="L113" s="6" t="n">
        <v>46673</v>
      </c>
      <c r="M113" s="5" t="s">
        <v>368</v>
      </c>
      <c r="N113" s="4" t="str">
        <f aca="true">IF(L113="","",IF(L113&lt;TODAY(),"Expired","Active"))</f>
        <v>Active</v>
      </c>
    </row>
    <row r="114" customFormat="false" ht="15" hidden="false" customHeight="false" outlineLevel="0" collapsed="false">
      <c r="A114" s="4" t="s">
        <v>373</v>
      </c>
      <c r="B114" s="5" t="s">
        <v>374</v>
      </c>
      <c r="C114" s="5" t="s">
        <v>205</v>
      </c>
      <c r="D114" s="5" t="s">
        <v>247</v>
      </c>
      <c r="E114" s="5"/>
      <c r="F114" s="5" t="s">
        <v>21</v>
      </c>
      <c r="G114" s="5" t="s">
        <v>74</v>
      </c>
      <c r="H114" s="6" t="n">
        <v>46308</v>
      </c>
      <c r="I114" s="6" t="n">
        <v>46308</v>
      </c>
      <c r="J114" s="7" t="s">
        <v>323</v>
      </c>
      <c r="K114" s="5" t="s">
        <v>23</v>
      </c>
      <c r="L114" s="6" t="n">
        <v>46673</v>
      </c>
      <c r="M114" s="5" t="s">
        <v>375</v>
      </c>
      <c r="N114" s="4" t="str">
        <f aca="true">IF(L114="","",IF(L114&lt;TODAY(),"Expired","Active"))</f>
        <v>Active</v>
      </c>
    </row>
    <row r="115" customFormat="false" ht="15" hidden="false" customHeight="false" outlineLevel="0" collapsed="false">
      <c r="A115" s="4" t="s">
        <v>376</v>
      </c>
      <c r="B115" s="5" t="s">
        <v>377</v>
      </c>
      <c r="C115" s="5" t="s">
        <v>327</v>
      </c>
      <c r="D115" s="5" t="s">
        <v>247</v>
      </c>
      <c r="E115" s="5"/>
      <c r="F115" s="5" t="s">
        <v>21</v>
      </c>
      <c r="G115" s="5" t="s">
        <v>74</v>
      </c>
      <c r="H115" s="6" t="n">
        <v>46308</v>
      </c>
      <c r="I115" s="6" t="n">
        <v>46308</v>
      </c>
      <c r="J115" s="7" t="s">
        <v>323</v>
      </c>
      <c r="K115" s="5" t="s">
        <v>23</v>
      </c>
      <c r="L115" s="6" t="n">
        <v>46673</v>
      </c>
      <c r="M115" s="5" t="s">
        <v>375</v>
      </c>
      <c r="N115" s="4" t="str">
        <f aca="true">IF(L115="","",IF(L115&lt;TODAY(),"Expired","Active"))</f>
        <v>Active</v>
      </c>
    </row>
    <row r="116" customFormat="false" ht="15" hidden="false" customHeight="false" outlineLevel="0" collapsed="false">
      <c r="A116" s="4" t="s">
        <v>378</v>
      </c>
      <c r="B116" s="5" t="s">
        <v>379</v>
      </c>
      <c r="C116" s="5" t="s">
        <v>330</v>
      </c>
      <c r="D116" s="5" t="s">
        <v>247</v>
      </c>
      <c r="E116" s="5"/>
      <c r="F116" s="5" t="s">
        <v>21</v>
      </c>
      <c r="G116" s="5" t="s">
        <v>74</v>
      </c>
      <c r="H116" s="6" t="n">
        <v>46308</v>
      </c>
      <c r="I116" s="6" t="n">
        <v>46308</v>
      </c>
      <c r="J116" s="7" t="s">
        <v>323</v>
      </c>
      <c r="K116" s="5" t="s">
        <v>23</v>
      </c>
      <c r="L116" s="6" t="n">
        <v>46673</v>
      </c>
      <c r="M116" s="5" t="s">
        <v>375</v>
      </c>
      <c r="N116" s="4" t="str">
        <f aca="true">IF(L116="","",IF(L116&lt;TODAY(),"Expired","Active"))</f>
        <v>Active</v>
      </c>
    </row>
    <row r="117" customFormat="false" ht="15" hidden="false" customHeight="false" outlineLevel="0" collapsed="false">
      <c r="A117" s="4" t="s">
        <v>380</v>
      </c>
      <c r="B117" s="5" t="s">
        <v>381</v>
      </c>
      <c r="C117" s="5" t="s">
        <v>205</v>
      </c>
      <c r="D117" s="5" t="s">
        <v>382</v>
      </c>
      <c r="E117" s="5" t="s">
        <v>341</v>
      </c>
      <c r="F117" s="5" t="s">
        <v>21</v>
      </c>
      <c r="G117" s="5" t="s">
        <v>21</v>
      </c>
      <c r="H117" s="6" t="n">
        <v>46308</v>
      </c>
      <c r="I117" s="6" t="n">
        <v>46308</v>
      </c>
      <c r="J117" s="7" t="s">
        <v>323</v>
      </c>
      <c r="K117" s="5" t="s">
        <v>23</v>
      </c>
      <c r="L117" s="6" t="n">
        <v>46673</v>
      </c>
      <c r="M117" s="5" t="s">
        <v>383</v>
      </c>
      <c r="N117" s="4" t="str">
        <f aca="true">IF(L117="","",IF(L117&lt;TODAY(),"Expired","Active"))</f>
        <v>Active</v>
      </c>
    </row>
    <row r="118" customFormat="false" ht="15" hidden="false" customHeight="false" outlineLevel="0" collapsed="false">
      <c r="A118" s="4" t="s">
        <v>384</v>
      </c>
      <c r="B118" s="5" t="s">
        <v>385</v>
      </c>
      <c r="C118" s="5" t="s">
        <v>327</v>
      </c>
      <c r="D118" s="5" t="s">
        <v>382</v>
      </c>
      <c r="E118" s="5" t="s">
        <v>341</v>
      </c>
      <c r="F118" s="5" t="s">
        <v>21</v>
      </c>
      <c r="G118" s="5" t="s">
        <v>21</v>
      </c>
      <c r="H118" s="6" t="n">
        <v>46308</v>
      </c>
      <c r="I118" s="6" t="n">
        <v>46308</v>
      </c>
      <c r="J118" s="7" t="s">
        <v>323</v>
      </c>
      <c r="K118" s="5" t="s">
        <v>23</v>
      </c>
      <c r="L118" s="6" t="n">
        <v>46673</v>
      </c>
      <c r="M118" s="5" t="s">
        <v>383</v>
      </c>
      <c r="N118" s="4" t="str">
        <f aca="true">IF(L118="","",IF(L118&lt;TODAY(),"Expired","Active"))</f>
        <v>Active</v>
      </c>
    </row>
    <row r="119" customFormat="false" ht="15" hidden="false" customHeight="false" outlineLevel="0" collapsed="false">
      <c r="A119" s="4" t="s">
        <v>386</v>
      </c>
      <c r="B119" s="5" t="s">
        <v>387</v>
      </c>
      <c r="C119" s="5" t="s">
        <v>330</v>
      </c>
      <c r="D119" s="5" t="s">
        <v>382</v>
      </c>
      <c r="E119" s="5" t="s">
        <v>341</v>
      </c>
      <c r="F119" s="5" t="s">
        <v>21</v>
      </c>
      <c r="G119" s="5" t="s">
        <v>21</v>
      </c>
      <c r="H119" s="6" t="n">
        <v>46308</v>
      </c>
      <c r="I119" s="6" t="n">
        <v>46308</v>
      </c>
      <c r="J119" s="7" t="s">
        <v>323</v>
      </c>
      <c r="K119" s="5" t="s">
        <v>23</v>
      </c>
      <c r="L119" s="6" t="n">
        <v>46673</v>
      </c>
      <c r="M119" s="5" t="s">
        <v>383</v>
      </c>
      <c r="N119" s="4" t="str">
        <f aca="true">IF(L119="","",IF(L119&lt;TODAY(),"Expired","Active"))</f>
        <v>Active</v>
      </c>
    </row>
    <row r="120" customFormat="false" ht="15" hidden="false" customHeight="false" outlineLevel="0" collapsed="false">
      <c r="A120" s="4" t="s">
        <v>388</v>
      </c>
      <c r="B120" s="5" t="s">
        <v>389</v>
      </c>
      <c r="C120" s="5" t="s">
        <v>349</v>
      </c>
      <c r="D120" s="5" t="s">
        <v>382</v>
      </c>
      <c r="E120" s="5" t="s">
        <v>341</v>
      </c>
      <c r="F120" s="5" t="s">
        <v>74</v>
      </c>
      <c r="G120" s="5" t="s">
        <v>21</v>
      </c>
      <c r="H120" s="6" t="n">
        <v>46308</v>
      </c>
      <c r="I120" s="6" t="n">
        <v>46308</v>
      </c>
      <c r="J120" s="7" t="s">
        <v>323</v>
      </c>
      <c r="K120" s="5" t="s">
        <v>350</v>
      </c>
      <c r="L120" s="6" t="n">
        <v>46398</v>
      </c>
      <c r="M120" s="5" t="s">
        <v>390</v>
      </c>
      <c r="N120" s="4" t="str">
        <f aca="true">IF(L120="","",IF(L120&lt;TODAY(),"Expired","Active"))</f>
        <v>Active</v>
      </c>
    </row>
    <row r="121" customFormat="false" ht="15" hidden="false" customHeight="false" outlineLevel="0" collapsed="false">
      <c r="A121" s="4" t="s">
        <v>391</v>
      </c>
      <c r="B121" s="5" t="s">
        <v>392</v>
      </c>
      <c r="C121" s="5" t="s">
        <v>205</v>
      </c>
      <c r="D121" s="5" t="s">
        <v>393</v>
      </c>
      <c r="E121" s="5" t="s">
        <v>341</v>
      </c>
      <c r="F121" s="5" t="s">
        <v>21</v>
      </c>
      <c r="G121" s="5" t="s">
        <v>21</v>
      </c>
      <c r="H121" s="6" t="n">
        <v>46308</v>
      </c>
      <c r="I121" s="6" t="n">
        <v>46308</v>
      </c>
      <c r="J121" s="7" t="s">
        <v>323</v>
      </c>
      <c r="K121" s="5" t="s">
        <v>23</v>
      </c>
      <c r="L121" s="6" t="n">
        <v>46673</v>
      </c>
      <c r="M121" s="5" t="s">
        <v>394</v>
      </c>
      <c r="N121" s="4" t="str">
        <f aca="true">IF(L121="","",IF(L121&lt;TODAY(),"Expired","Active"))</f>
        <v>Active</v>
      </c>
    </row>
    <row r="122" customFormat="false" ht="15" hidden="false" customHeight="false" outlineLevel="0" collapsed="false">
      <c r="A122" s="4" t="s">
        <v>395</v>
      </c>
      <c r="B122" s="5" t="s">
        <v>396</v>
      </c>
      <c r="C122" s="5" t="s">
        <v>327</v>
      </c>
      <c r="D122" s="5" t="s">
        <v>393</v>
      </c>
      <c r="E122" s="5" t="s">
        <v>341</v>
      </c>
      <c r="F122" s="5" t="s">
        <v>21</v>
      </c>
      <c r="G122" s="5" t="s">
        <v>21</v>
      </c>
      <c r="H122" s="6" t="n">
        <v>46308</v>
      </c>
      <c r="I122" s="6" t="n">
        <v>46308</v>
      </c>
      <c r="J122" s="7" t="s">
        <v>323</v>
      </c>
      <c r="K122" s="5" t="s">
        <v>23</v>
      </c>
      <c r="L122" s="6" t="n">
        <v>46673</v>
      </c>
      <c r="M122" s="5" t="s">
        <v>394</v>
      </c>
      <c r="N122" s="4" t="str">
        <f aca="true">IF(L122="","",IF(L122&lt;TODAY(),"Expired","Active"))</f>
        <v>Active</v>
      </c>
    </row>
    <row r="123" customFormat="false" ht="15" hidden="false" customHeight="false" outlineLevel="0" collapsed="false">
      <c r="A123" s="4" t="s">
        <v>397</v>
      </c>
      <c r="B123" s="5" t="s">
        <v>398</v>
      </c>
      <c r="C123" s="5" t="s">
        <v>330</v>
      </c>
      <c r="D123" s="5" t="s">
        <v>393</v>
      </c>
      <c r="E123" s="5" t="s">
        <v>341</v>
      </c>
      <c r="F123" s="5" t="s">
        <v>21</v>
      </c>
      <c r="G123" s="5" t="s">
        <v>21</v>
      </c>
      <c r="H123" s="6" t="n">
        <v>46308</v>
      </c>
      <c r="I123" s="6" t="n">
        <v>46308</v>
      </c>
      <c r="J123" s="7" t="s">
        <v>323</v>
      </c>
      <c r="K123" s="5" t="s">
        <v>23</v>
      </c>
      <c r="L123" s="6" t="n">
        <v>46673</v>
      </c>
      <c r="M123" s="5" t="s">
        <v>394</v>
      </c>
      <c r="N123" s="4" t="str">
        <f aca="true">IF(L123="","",IF(L123&lt;TODAY(),"Expired","Active"))</f>
        <v>Active</v>
      </c>
    </row>
    <row r="124" customFormat="false" ht="15" hidden="false" customHeight="false" outlineLevel="0" collapsed="false">
      <c r="A124" s="4" t="s">
        <v>399</v>
      </c>
      <c r="B124" s="5" t="s">
        <v>400</v>
      </c>
      <c r="C124" s="5" t="s">
        <v>205</v>
      </c>
      <c r="D124" s="5" t="s">
        <v>247</v>
      </c>
      <c r="E124" s="5"/>
      <c r="F124" s="5" t="s">
        <v>21</v>
      </c>
      <c r="G124" s="5" t="s">
        <v>74</v>
      </c>
      <c r="H124" s="6" t="n">
        <v>46308</v>
      </c>
      <c r="I124" s="6" t="n">
        <v>46308</v>
      </c>
      <c r="J124" s="7" t="s">
        <v>323</v>
      </c>
      <c r="K124" s="5" t="s">
        <v>23</v>
      </c>
      <c r="L124" s="6" t="n">
        <v>46673</v>
      </c>
      <c r="M124" s="5" t="s">
        <v>401</v>
      </c>
      <c r="N124" s="4" t="str">
        <f aca="true">IF(L124="","",IF(L124&lt;TODAY(),"Expired","Active"))</f>
        <v>Active</v>
      </c>
    </row>
    <row r="125" customFormat="false" ht="15" hidden="false" customHeight="false" outlineLevel="0" collapsed="false">
      <c r="A125" s="4" t="s">
        <v>402</v>
      </c>
      <c r="B125" s="5" t="s">
        <v>403</v>
      </c>
      <c r="C125" s="5" t="s">
        <v>327</v>
      </c>
      <c r="D125" s="5" t="s">
        <v>247</v>
      </c>
      <c r="E125" s="5"/>
      <c r="F125" s="5" t="s">
        <v>21</v>
      </c>
      <c r="G125" s="5" t="s">
        <v>74</v>
      </c>
      <c r="H125" s="6" t="n">
        <v>46308</v>
      </c>
      <c r="I125" s="6" t="n">
        <v>46308</v>
      </c>
      <c r="J125" s="7" t="s">
        <v>323</v>
      </c>
      <c r="K125" s="5" t="s">
        <v>23</v>
      </c>
      <c r="L125" s="6" t="n">
        <v>46673</v>
      </c>
      <c r="M125" s="5" t="s">
        <v>401</v>
      </c>
      <c r="N125" s="4" t="str">
        <f aca="true">IF(L125="","",IF(L125&lt;TODAY(),"Expired","Active"))</f>
        <v>Active</v>
      </c>
    </row>
    <row r="126" customFormat="false" ht="15" hidden="false" customHeight="false" outlineLevel="0" collapsed="false">
      <c r="A126" s="4" t="s">
        <v>404</v>
      </c>
      <c r="B126" s="5" t="s">
        <v>405</v>
      </c>
      <c r="C126" s="5" t="s">
        <v>330</v>
      </c>
      <c r="D126" s="5" t="s">
        <v>247</v>
      </c>
      <c r="E126" s="5"/>
      <c r="F126" s="5" t="s">
        <v>21</v>
      </c>
      <c r="G126" s="5" t="s">
        <v>74</v>
      </c>
      <c r="H126" s="6" t="n">
        <v>46308</v>
      </c>
      <c r="I126" s="6" t="n">
        <v>46308</v>
      </c>
      <c r="J126" s="7" t="s">
        <v>323</v>
      </c>
      <c r="K126" s="5" t="s">
        <v>23</v>
      </c>
      <c r="L126" s="6" t="n">
        <v>46673</v>
      </c>
      <c r="M126" s="5" t="s">
        <v>401</v>
      </c>
      <c r="N126" s="4" t="str">
        <f aca="true">IF(L126="","",IF(L126&lt;TODAY(),"Expired","Active"))</f>
        <v>Active</v>
      </c>
    </row>
    <row r="127" customFormat="false" ht="15" hidden="false" customHeight="false" outlineLevel="0" collapsed="false">
      <c r="A127" s="4" t="s">
        <v>406</v>
      </c>
      <c r="B127" s="5" t="s">
        <v>407</v>
      </c>
      <c r="C127" s="5" t="s">
        <v>205</v>
      </c>
      <c r="D127" s="5" t="s">
        <v>247</v>
      </c>
      <c r="E127" s="5"/>
      <c r="F127" s="5" t="s">
        <v>21</v>
      </c>
      <c r="G127" s="5" t="s">
        <v>74</v>
      </c>
      <c r="H127" s="6" t="n">
        <v>46308</v>
      </c>
      <c r="I127" s="6" t="n">
        <v>46308</v>
      </c>
      <c r="J127" s="7" t="s">
        <v>323</v>
      </c>
      <c r="K127" s="5" t="s">
        <v>23</v>
      </c>
      <c r="L127" s="6" t="n">
        <v>46673</v>
      </c>
      <c r="M127" s="5" t="s">
        <v>408</v>
      </c>
      <c r="N127" s="4" t="str">
        <f aca="true">IF(L127="","",IF(L127&lt;TODAY(),"Expired","Active"))</f>
        <v>Active</v>
      </c>
    </row>
    <row r="128" customFormat="false" ht="15" hidden="false" customHeight="false" outlineLevel="0" collapsed="false">
      <c r="A128" s="4" t="s">
        <v>409</v>
      </c>
      <c r="B128" s="5" t="s">
        <v>410</v>
      </c>
      <c r="C128" s="5" t="s">
        <v>327</v>
      </c>
      <c r="D128" s="5" t="s">
        <v>247</v>
      </c>
      <c r="E128" s="5"/>
      <c r="F128" s="5" t="s">
        <v>21</v>
      </c>
      <c r="G128" s="5" t="s">
        <v>74</v>
      </c>
      <c r="H128" s="6" t="n">
        <v>46308</v>
      </c>
      <c r="I128" s="6" t="n">
        <v>46308</v>
      </c>
      <c r="J128" s="7" t="s">
        <v>323</v>
      </c>
      <c r="K128" s="5" t="s">
        <v>23</v>
      </c>
      <c r="L128" s="6" t="n">
        <v>46673</v>
      </c>
      <c r="M128" s="5" t="s">
        <v>408</v>
      </c>
      <c r="N128" s="4" t="str">
        <f aca="true">IF(L128="","",IF(L128&lt;TODAY(),"Expired","Active"))</f>
        <v>Active</v>
      </c>
    </row>
    <row r="129" customFormat="false" ht="15" hidden="false" customHeight="false" outlineLevel="0" collapsed="false">
      <c r="A129" s="4" t="s">
        <v>411</v>
      </c>
      <c r="B129" s="5" t="s">
        <v>412</v>
      </c>
      <c r="C129" s="5" t="s">
        <v>330</v>
      </c>
      <c r="D129" s="5" t="s">
        <v>247</v>
      </c>
      <c r="E129" s="5"/>
      <c r="F129" s="5" t="s">
        <v>21</v>
      </c>
      <c r="G129" s="5" t="s">
        <v>74</v>
      </c>
      <c r="H129" s="6" t="n">
        <v>46308</v>
      </c>
      <c r="I129" s="6" t="n">
        <v>46308</v>
      </c>
      <c r="J129" s="7" t="s">
        <v>323</v>
      </c>
      <c r="K129" s="5" t="s">
        <v>23</v>
      </c>
      <c r="L129" s="6" t="n">
        <v>46673</v>
      </c>
      <c r="M129" s="5" t="s">
        <v>408</v>
      </c>
      <c r="N129" s="4" t="str">
        <f aca="true">IF(L129="","",IF(L129&lt;TODAY(),"Expired","Active"))</f>
        <v>Active</v>
      </c>
    </row>
    <row r="130" customFormat="false" ht="15" hidden="false" customHeight="false" outlineLevel="0" collapsed="false">
      <c r="A130" s="4" t="s">
        <v>413</v>
      </c>
      <c r="B130" s="5" t="s">
        <v>414</v>
      </c>
      <c r="C130" s="5" t="s">
        <v>205</v>
      </c>
      <c r="D130" s="5" t="s">
        <v>393</v>
      </c>
      <c r="E130" s="5" t="s">
        <v>341</v>
      </c>
      <c r="F130" s="5" t="s">
        <v>21</v>
      </c>
      <c r="G130" s="5" t="s">
        <v>21</v>
      </c>
      <c r="H130" s="6" t="n">
        <v>46308</v>
      </c>
      <c r="I130" s="6" t="n">
        <v>46308</v>
      </c>
      <c r="J130" s="7" t="s">
        <v>323</v>
      </c>
      <c r="K130" s="5" t="s">
        <v>23</v>
      </c>
      <c r="L130" s="6" t="n">
        <v>46673</v>
      </c>
      <c r="M130" s="5" t="s">
        <v>415</v>
      </c>
      <c r="N130" s="4" t="str">
        <f aca="true">IF(L130="","",IF(L130&lt;TODAY(),"Expired","Active"))</f>
        <v>Active</v>
      </c>
    </row>
    <row r="131" customFormat="false" ht="15" hidden="false" customHeight="false" outlineLevel="0" collapsed="false">
      <c r="A131" s="4" t="s">
        <v>416</v>
      </c>
      <c r="B131" s="5" t="s">
        <v>417</v>
      </c>
      <c r="C131" s="5" t="s">
        <v>327</v>
      </c>
      <c r="D131" s="5" t="s">
        <v>393</v>
      </c>
      <c r="E131" s="5" t="s">
        <v>341</v>
      </c>
      <c r="F131" s="5" t="s">
        <v>21</v>
      </c>
      <c r="G131" s="5" t="s">
        <v>21</v>
      </c>
      <c r="H131" s="6" t="n">
        <v>46308</v>
      </c>
      <c r="I131" s="6" t="n">
        <v>46308</v>
      </c>
      <c r="J131" s="7" t="s">
        <v>323</v>
      </c>
      <c r="K131" s="5" t="s">
        <v>23</v>
      </c>
      <c r="L131" s="6" t="n">
        <v>46673</v>
      </c>
      <c r="M131" s="5" t="s">
        <v>415</v>
      </c>
      <c r="N131" s="4" t="str">
        <f aca="true">IF(L131="","",IF(L131&lt;TODAY(),"Expired","Active"))</f>
        <v>Active</v>
      </c>
    </row>
    <row r="132" customFormat="false" ht="15" hidden="false" customHeight="false" outlineLevel="0" collapsed="false">
      <c r="A132" s="4" t="s">
        <v>418</v>
      </c>
      <c r="B132" s="5" t="s">
        <v>419</v>
      </c>
      <c r="C132" s="5" t="s">
        <v>330</v>
      </c>
      <c r="D132" s="5" t="s">
        <v>393</v>
      </c>
      <c r="E132" s="5" t="s">
        <v>341</v>
      </c>
      <c r="F132" s="5" t="s">
        <v>21</v>
      </c>
      <c r="G132" s="5" t="s">
        <v>21</v>
      </c>
      <c r="H132" s="6" t="n">
        <v>46308</v>
      </c>
      <c r="I132" s="6" t="n">
        <v>46308</v>
      </c>
      <c r="J132" s="7" t="s">
        <v>323</v>
      </c>
      <c r="K132" s="5" t="s">
        <v>23</v>
      </c>
      <c r="L132" s="6" t="n">
        <v>46673</v>
      </c>
      <c r="M132" s="5" t="s">
        <v>415</v>
      </c>
      <c r="N132" s="4" t="str">
        <f aca="true">IF(L132="","",IF(L132&lt;TODAY(),"Expired","Active"))</f>
        <v>Active</v>
      </c>
    </row>
    <row r="133" customFormat="false" ht="15" hidden="false" customHeight="false" outlineLevel="0" collapsed="false">
      <c r="A133" s="4" t="s">
        <v>420</v>
      </c>
      <c r="B133" s="5" t="s">
        <v>421</v>
      </c>
      <c r="C133" s="5" t="s">
        <v>349</v>
      </c>
      <c r="D133" s="5" t="s">
        <v>393</v>
      </c>
      <c r="E133" s="5" t="s">
        <v>341</v>
      </c>
      <c r="F133" s="5" t="s">
        <v>74</v>
      </c>
      <c r="G133" s="5" t="s">
        <v>21</v>
      </c>
      <c r="H133" s="6" t="n">
        <v>46308</v>
      </c>
      <c r="I133" s="6" t="n">
        <v>46308</v>
      </c>
      <c r="J133" s="7" t="s">
        <v>323</v>
      </c>
      <c r="K133" s="5" t="s">
        <v>350</v>
      </c>
      <c r="L133" s="6" t="n">
        <v>46398</v>
      </c>
      <c r="M133" s="5" t="s">
        <v>422</v>
      </c>
      <c r="N133" s="4" t="str">
        <f aca="true">IF(L133="","",IF(L133&lt;TODAY(),"Expired","Active"))</f>
        <v>Active</v>
      </c>
    </row>
    <row r="134" customFormat="false" ht="15" hidden="false" customHeight="false" outlineLevel="0" collapsed="false">
      <c r="A134" s="4" t="s">
        <v>423</v>
      </c>
      <c r="B134" s="5" t="s">
        <v>424</v>
      </c>
      <c r="C134" s="5" t="s">
        <v>205</v>
      </c>
      <c r="D134" s="5" t="s">
        <v>322</v>
      </c>
      <c r="E134" s="5"/>
      <c r="F134" s="5" t="s">
        <v>21</v>
      </c>
      <c r="G134" s="5" t="s">
        <v>74</v>
      </c>
      <c r="H134" s="6" t="n">
        <v>46308</v>
      </c>
      <c r="I134" s="6" t="n">
        <v>46308</v>
      </c>
      <c r="J134" s="7" t="s">
        <v>323</v>
      </c>
      <c r="K134" s="5" t="s">
        <v>23</v>
      </c>
      <c r="L134" s="6" t="n">
        <v>46673</v>
      </c>
      <c r="M134" s="5" t="s">
        <v>425</v>
      </c>
      <c r="N134" s="4" t="str">
        <f aca="true">IF(L134="","",IF(L134&lt;TODAY(),"Expired","Active"))</f>
        <v>Active</v>
      </c>
    </row>
    <row r="135" customFormat="false" ht="15" hidden="false" customHeight="false" outlineLevel="0" collapsed="false">
      <c r="A135" s="4" t="s">
        <v>426</v>
      </c>
      <c r="B135" s="5" t="s">
        <v>427</v>
      </c>
      <c r="C135" s="5" t="s">
        <v>327</v>
      </c>
      <c r="D135" s="5" t="s">
        <v>322</v>
      </c>
      <c r="E135" s="5"/>
      <c r="F135" s="5" t="s">
        <v>21</v>
      </c>
      <c r="G135" s="5" t="s">
        <v>74</v>
      </c>
      <c r="H135" s="6" t="n">
        <v>46308</v>
      </c>
      <c r="I135" s="6" t="n">
        <v>46308</v>
      </c>
      <c r="J135" s="7" t="s">
        <v>323</v>
      </c>
      <c r="K135" s="5" t="s">
        <v>23</v>
      </c>
      <c r="L135" s="6" t="n">
        <v>46673</v>
      </c>
      <c r="M135" s="5" t="s">
        <v>425</v>
      </c>
      <c r="N135" s="4" t="str">
        <f aca="true">IF(L135="","",IF(L135&lt;TODAY(),"Expired","Active"))</f>
        <v>Active</v>
      </c>
    </row>
    <row r="136" customFormat="false" ht="15" hidden="false" customHeight="false" outlineLevel="0" collapsed="false">
      <c r="A136" s="4" t="s">
        <v>428</v>
      </c>
      <c r="B136" s="5" t="s">
        <v>429</v>
      </c>
      <c r="C136" s="5" t="s">
        <v>330</v>
      </c>
      <c r="D136" s="5" t="s">
        <v>322</v>
      </c>
      <c r="E136" s="5"/>
      <c r="F136" s="5" t="s">
        <v>21</v>
      </c>
      <c r="G136" s="5" t="s">
        <v>74</v>
      </c>
      <c r="H136" s="6" t="n">
        <v>46308</v>
      </c>
      <c r="I136" s="6" t="n">
        <v>46308</v>
      </c>
      <c r="J136" s="7" t="s">
        <v>323</v>
      </c>
      <c r="K136" s="5" t="s">
        <v>23</v>
      </c>
      <c r="L136" s="6" t="n">
        <v>46673</v>
      </c>
      <c r="M136" s="5" t="s">
        <v>425</v>
      </c>
      <c r="N136" s="4" t="str">
        <f aca="true">IF(L136="","",IF(L136&lt;TODAY(),"Expired","Active"))</f>
        <v>Active</v>
      </c>
    </row>
    <row r="137" customFormat="false" ht="15" hidden="false" customHeight="false" outlineLevel="0" collapsed="false">
      <c r="A137" s="4" t="s">
        <v>430</v>
      </c>
      <c r="B137" s="5" t="s">
        <v>431</v>
      </c>
      <c r="C137" s="5" t="s">
        <v>205</v>
      </c>
      <c r="D137" s="5" t="s">
        <v>322</v>
      </c>
      <c r="E137" s="5"/>
      <c r="F137" s="5" t="s">
        <v>21</v>
      </c>
      <c r="G137" s="5" t="s">
        <v>74</v>
      </c>
      <c r="H137" s="6" t="n">
        <v>46308</v>
      </c>
      <c r="I137" s="6" t="n">
        <v>46308</v>
      </c>
      <c r="J137" s="7" t="s">
        <v>323</v>
      </c>
      <c r="K137" s="5" t="s">
        <v>23</v>
      </c>
      <c r="L137" s="6" t="n">
        <v>46673</v>
      </c>
      <c r="M137" s="5" t="s">
        <v>425</v>
      </c>
      <c r="N137" s="4" t="str">
        <f aca="true">IF(L137="","",IF(L137&lt;TODAY(),"Expired","Active"))</f>
        <v>Active</v>
      </c>
    </row>
    <row r="138" customFormat="false" ht="15" hidden="false" customHeight="false" outlineLevel="0" collapsed="false">
      <c r="A138" s="4" t="s">
        <v>432</v>
      </c>
      <c r="B138" s="5" t="s">
        <v>433</v>
      </c>
      <c r="C138" s="5" t="s">
        <v>327</v>
      </c>
      <c r="D138" s="5" t="s">
        <v>322</v>
      </c>
      <c r="E138" s="5"/>
      <c r="F138" s="5" t="s">
        <v>21</v>
      </c>
      <c r="G138" s="5" t="s">
        <v>74</v>
      </c>
      <c r="H138" s="6" t="n">
        <v>46308</v>
      </c>
      <c r="I138" s="6" t="n">
        <v>46308</v>
      </c>
      <c r="J138" s="7" t="s">
        <v>323</v>
      </c>
      <c r="K138" s="5" t="s">
        <v>23</v>
      </c>
      <c r="L138" s="6" t="n">
        <v>46673</v>
      </c>
      <c r="M138" s="5" t="s">
        <v>425</v>
      </c>
      <c r="N138" s="4" t="str">
        <f aca="true">IF(L138="","",IF(L138&lt;TODAY(),"Expired","Active"))</f>
        <v>Active</v>
      </c>
    </row>
    <row r="139" customFormat="false" ht="15" hidden="false" customHeight="false" outlineLevel="0" collapsed="false">
      <c r="A139" s="4" t="s">
        <v>434</v>
      </c>
      <c r="B139" s="5" t="s">
        <v>435</v>
      </c>
      <c r="C139" s="5" t="s">
        <v>330</v>
      </c>
      <c r="D139" s="5" t="s">
        <v>322</v>
      </c>
      <c r="E139" s="5"/>
      <c r="F139" s="5" t="s">
        <v>21</v>
      </c>
      <c r="G139" s="5" t="s">
        <v>74</v>
      </c>
      <c r="H139" s="6" t="n">
        <v>46308</v>
      </c>
      <c r="I139" s="6" t="n">
        <v>46308</v>
      </c>
      <c r="J139" s="7" t="s">
        <v>323</v>
      </c>
      <c r="K139" s="5" t="s">
        <v>23</v>
      </c>
      <c r="L139" s="6" t="n">
        <v>46673</v>
      </c>
      <c r="M139" s="5" t="s">
        <v>425</v>
      </c>
      <c r="N139" s="4" t="str">
        <f aca="true">IF(L139="","",IF(L139&lt;TODAY(),"Expired","Active"))</f>
        <v>Active</v>
      </c>
    </row>
    <row r="140" customFormat="false" ht="15" hidden="false" customHeight="false" outlineLevel="0" collapsed="false">
      <c r="A140" s="4" t="s">
        <v>436</v>
      </c>
      <c r="B140" s="5" t="s">
        <v>437</v>
      </c>
      <c r="C140" s="5" t="s">
        <v>205</v>
      </c>
      <c r="D140" s="5" t="s">
        <v>322</v>
      </c>
      <c r="E140" s="5"/>
      <c r="F140" s="5" t="s">
        <v>21</v>
      </c>
      <c r="G140" s="5" t="s">
        <v>74</v>
      </c>
      <c r="H140" s="6" t="n">
        <v>46308</v>
      </c>
      <c r="I140" s="6" t="n">
        <v>46308</v>
      </c>
      <c r="J140" s="7" t="s">
        <v>323</v>
      </c>
      <c r="K140" s="5" t="s">
        <v>23</v>
      </c>
      <c r="L140" s="6" t="n">
        <v>46673</v>
      </c>
      <c r="M140" s="5" t="s">
        <v>438</v>
      </c>
      <c r="N140" s="4" t="str">
        <f aca="true">IF(L140="","",IF(L140&lt;TODAY(),"Expired","Active"))</f>
        <v>Active</v>
      </c>
    </row>
    <row r="141" customFormat="false" ht="15" hidden="false" customHeight="false" outlineLevel="0" collapsed="false">
      <c r="A141" s="4" t="s">
        <v>439</v>
      </c>
      <c r="B141" s="5" t="s">
        <v>440</v>
      </c>
      <c r="C141" s="5" t="s">
        <v>327</v>
      </c>
      <c r="D141" s="5" t="s">
        <v>322</v>
      </c>
      <c r="E141" s="5"/>
      <c r="F141" s="5" t="s">
        <v>21</v>
      </c>
      <c r="G141" s="5" t="s">
        <v>74</v>
      </c>
      <c r="H141" s="6" t="n">
        <v>46308</v>
      </c>
      <c r="I141" s="6" t="n">
        <v>46308</v>
      </c>
      <c r="J141" s="7" t="s">
        <v>323</v>
      </c>
      <c r="K141" s="5" t="s">
        <v>23</v>
      </c>
      <c r="L141" s="6" t="n">
        <v>46673</v>
      </c>
      <c r="M141" s="5" t="s">
        <v>438</v>
      </c>
      <c r="N141" s="4" t="str">
        <f aca="true">IF(L141="","",IF(L141&lt;TODAY(),"Expired","Active"))</f>
        <v>Active</v>
      </c>
    </row>
    <row r="142" customFormat="false" ht="15" hidden="false" customHeight="false" outlineLevel="0" collapsed="false">
      <c r="A142" s="4" t="s">
        <v>441</v>
      </c>
      <c r="B142" s="5" t="s">
        <v>442</v>
      </c>
      <c r="C142" s="5" t="s">
        <v>330</v>
      </c>
      <c r="D142" s="5" t="s">
        <v>322</v>
      </c>
      <c r="E142" s="5"/>
      <c r="F142" s="5" t="s">
        <v>21</v>
      </c>
      <c r="G142" s="5" t="s">
        <v>74</v>
      </c>
      <c r="H142" s="6" t="n">
        <v>46308</v>
      </c>
      <c r="I142" s="6" t="n">
        <v>46308</v>
      </c>
      <c r="J142" s="7" t="s">
        <v>323</v>
      </c>
      <c r="K142" s="5" t="s">
        <v>23</v>
      </c>
      <c r="L142" s="6" t="n">
        <v>46673</v>
      </c>
      <c r="M142" s="5" t="s">
        <v>438</v>
      </c>
      <c r="N142" s="4" t="str">
        <f aca="true">IF(L142="","",IF(L142&lt;TODAY(),"Expired","Active"))</f>
        <v>Active</v>
      </c>
    </row>
    <row r="143" customFormat="false" ht="15" hidden="false" customHeight="false" outlineLevel="0" collapsed="false">
      <c r="A143" s="4" t="s">
        <v>443</v>
      </c>
      <c r="B143" s="5" t="s">
        <v>444</v>
      </c>
      <c r="C143" s="5" t="s">
        <v>205</v>
      </c>
      <c r="D143" s="5" t="s">
        <v>340</v>
      </c>
      <c r="E143" s="5" t="s">
        <v>341</v>
      </c>
      <c r="F143" s="5" t="s">
        <v>21</v>
      </c>
      <c r="G143" s="5" t="s">
        <v>21</v>
      </c>
      <c r="H143" s="6" t="n">
        <v>46308</v>
      </c>
      <c r="I143" s="6" t="n">
        <v>46308</v>
      </c>
      <c r="J143" s="7" t="s">
        <v>323</v>
      </c>
      <c r="K143" s="5" t="s">
        <v>23</v>
      </c>
      <c r="L143" s="6" t="n">
        <v>46673</v>
      </c>
      <c r="M143" s="5" t="s">
        <v>445</v>
      </c>
      <c r="N143" s="4" t="str">
        <f aca="true">IF(L143="","",IF(L143&lt;TODAY(),"Expired","Active"))</f>
        <v>Active</v>
      </c>
    </row>
    <row r="144" customFormat="false" ht="15" hidden="false" customHeight="false" outlineLevel="0" collapsed="false">
      <c r="A144" s="4" t="s">
        <v>446</v>
      </c>
      <c r="B144" s="5" t="s">
        <v>447</v>
      </c>
      <c r="C144" s="5" t="s">
        <v>327</v>
      </c>
      <c r="D144" s="5" t="s">
        <v>340</v>
      </c>
      <c r="E144" s="5" t="s">
        <v>341</v>
      </c>
      <c r="F144" s="5" t="s">
        <v>21</v>
      </c>
      <c r="G144" s="5" t="s">
        <v>21</v>
      </c>
      <c r="H144" s="6" t="n">
        <v>46308</v>
      </c>
      <c r="I144" s="6" t="n">
        <v>46308</v>
      </c>
      <c r="J144" s="7" t="s">
        <v>323</v>
      </c>
      <c r="K144" s="5" t="s">
        <v>23</v>
      </c>
      <c r="L144" s="6" t="n">
        <v>46673</v>
      </c>
      <c r="M144" s="5" t="s">
        <v>445</v>
      </c>
      <c r="N144" s="4" t="str">
        <f aca="true">IF(L144="","",IF(L144&lt;TODAY(),"Expired","Active"))</f>
        <v>Active</v>
      </c>
    </row>
    <row r="145" customFormat="false" ht="15" hidden="false" customHeight="false" outlineLevel="0" collapsed="false">
      <c r="A145" s="4" t="s">
        <v>448</v>
      </c>
      <c r="B145" s="5" t="s">
        <v>449</v>
      </c>
      <c r="C145" s="5" t="s">
        <v>330</v>
      </c>
      <c r="D145" s="5" t="s">
        <v>340</v>
      </c>
      <c r="E145" s="5" t="s">
        <v>341</v>
      </c>
      <c r="F145" s="5" t="s">
        <v>21</v>
      </c>
      <c r="G145" s="5" t="s">
        <v>21</v>
      </c>
      <c r="H145" s="6" t="n">
        <v>46308</v>
      </c>
      <c r="I145" s="6" t="n">
        <v>46308</v>
      </c>
      <c r="J145" s="7" t="s">
        <v>323</v>
      </c>
      <c r="K145" s="5" t="s">
        <v>23</v>
      </c>
      <c r="L145" s="6" t="n">
        <v>46673</v>
      </c>
      <c r="M145" s="5" t="s">
        <v>445</v>
      </c>
      <c r="N145" s="4" t="str">
        <f aca="true">IF(L145="","",IF(L145&lt;TODAY(),"Expired","Active"))</f>
        <v>Active</v>
      </c>
    </row>
    <row r="146" customFormat="false" ht="15" hidden="false" customHeight="false" outlineLevel="0" collapsed="false">
      <c r="A146" s="4" t="s">
        <v>450</v>
      </c>
      <c r="B146" s="5" t="s">
        <v>451</v>
      </c>
      <c r="C146" s="5" t="s">
        <v>349</v>
      </c>
      <c r="D146" s="5" t="s">
        <v>340</v>
      </c>
      <c r="E146" s="5" t="s">
        <v>341</v>
      </c>
      <c r="F146" s="5" t="s">
        <v>74</v>
      </c>
      <c r="G146" s="5" t="s">
        <v>21</v>
      </c>
      <c r="H146" s="6" t="n">
        <v>46308</v>
      </c>
      <c r="I146" s="6" t="n">
        <v>46308</v>
      </c>
      <c r="J146" s="7" t="s">
        <v>323</v>
      </c>
      <c r="K146" s="5" t="s">
        <v>350</v>
      </c>
      <c r="L146" s="6" t="n">
        <v>46398</v>
      </c>
      <c r="M146" s="5" t="s">
        <v>452</v>
      </c>
      <c r="N146" s="4" t="str">
        <f aca="true">IF(L146="","",IF(L146&lt;TODAY(),"Expired","Active"))</f>
        <v>Active</v>
      </c>
    </row>
    <row r="147" customFormat="false" ht="15" hidden="false" customHeight="false" outlineLevel="0" collapsed="false">
      <c r="A147" s="4" t="s">
        <v>453</v>
      </c>
      <c r="B147" s="5" t="s">
        <v>454</v>
      </c>
      <c r="C147" s="5" t="s">
        <v>205</v>
      </c>
      <c r="D147" s="5" t="s">
        <v>322</v>
      </c>
      <c r="E147" s="5" t="s">
        <v>341</v>
      </c>
      <c r="F147" s="5" t="s">
        <v>21</v>
      </c>
      <c r="G147" s="5" t="s">
        <v>74</v>
      </c>
      <c r="H147" s="6" t="n">
        <v>46308</v>
      </c>
      <c r="I147" s="6" t="n">
        <v>46308</v>
      </c>
      <c r="J147" s="7" t="s">
        <v>323</v>
      </c>
      <c r="K147" s="5" t="s">
        <v>23</v>
      </c>
      <c r="L147" s="6" t="n">
        <v>46673</v>
      </c>
      <c r="M147" s="5" t="s">
        <v>455</v>
      </c>
      <c r="N147" s="4" t="str">
        <f aca="true">IF(L147="","",IF(L147&lt;TODAY(),"Expired","Active"))</f>
        <v>Active</v>
      </c>
    </row>
    <row r="148" customFormat="false" ht="15" hidden="false" customHeight="false" outlineLevel="0" collapsed="false">
      <c r="A148" s="4" t="s">
        <v>456</v>
      </c>
      <c r="B148" s="5" t="s">
        <v>457</v>
      </c>
      <c r="C148" s="5" t="s">
        <v>327</v>
      </c>
      <c r="D148" s="5" t="s">
        <v>322</v>
      </c>
      <c r="E148" s="5" t="s">
        <v>341</v>
      </c>
      <c r="F148" s="5" t="s">
        <v>21</v>
      </c>
      <c r="G148" s="5" t="s">
        <v>74</v>
      </c>
      <c r="H148" s="6" t="n">
        <v>46308</v>
      </c>
      <c r="I148" s="6" t="n">
        <v>46308</v>
      </c>
      <c r="J148" s="7" t="s">
        <v>323</v>
      </c>
      <c r="K148" s="5" t="s">
        <v>23</v>
      </c>
      <c r="L148" s="6" t="n">
        <v>46673</v>
      </c>
      <c r="M148" s="5" t="s">
        <v>455</v>
      </c>
      <c r="N148" s="4" t="str">
        <f aca="true">IF(L148="","",IF(L148&lt;TODAY(),"Expired","Active"))</f>
        <v>Active</v>
      </c>
    </row>
    <row r="149" customFormat="false" ht="15" hidden="false" customHeight="false" outlineLevel="0" collapsed="false">
      <c r="A149" s="4" t="s">
        <v>458</v>
      </c>
      <c r="B149" s="5" t="s">
        <v>459</v>
      </c>
      <c r="C149" s="5" t="s">
        <v>330</v>
      </c>
      <c r="D149" s="5" t="s">
        <v>322</v>
      </c>
      <c r="E149" s="5" t="s">
        <v>341</v>
      </c>
      <c r="F149" s="5" t="s">
        <v>21</v>
      </c>
      <c r="G149" s="5" t="s">
        <v>74</v>
      </c>
      <c r="H149" s="6" t="n">
        <v>46308</v>
      </c>
      <c r="I149" s="6" t="n">
        <v>46308</v>
      </c>
      <c r="J149" s="7" t="s">
        <v>323</v>
      </c>
      <c r="K149" s="5" t="s">
        <v>23</v>
      </c>
      <c r="L149" s="6" t="n">
        <v>46673</v>
      </c>
      <c r="M149" s="5" t="s">
        <v>455</v>
      </c>
      <c r="N149" s="4" t="str">
        <f aca="true">IF(L149="","",IF(L149&lt;TODAY(),"Expired","Active"))</f>
        <v>Active</v>
      </c>
    </row>
    <row r="150" customFormat="false" ht="15" hidden="false" customHeight="false" outlineLevel="0" collapsed="false">
      <c r="A150" s="4" t="s">
        <v>460</v>
      </c>
      <c r="B150" s="5" t="s">
        <v>461</v>
      </c>
      <c r="C150" s="5" t="s">
        <v>349</v>
      </c>
      <c r="D150" s="5" t="s">
        <v>322</v>
      </c>
      <c r="E150" s="5" t="s">
        <v>341</v>
      </c>
      <c r="F150" s="5" t="s">
        <v>74</v>
      </c>
      <c r="G150" s="5" t="s">
        <v>74</v>
      </c>
      <c r="H150" s="6" t="n">
        <v>46308</v>
      </c>
      <c r="I150" s="6" t="n">
        <v>46308</v>
      </c>
      <c r="J150" s="7" t="s">
        <v>323</v>
      </c>
      <c r="K150" s="5" t="s">
        <v>350</v>
      </c>
      <c r="L150" s="6" t="n">
        <v>46398</v>
      </c>
      <c r="M150" s="5" t="s">
        <v>462</v>
      </c>
      <c r="N150" s="4" t="str">
        <f aca="true">IF(L150="","",IF(L150&lt;TODAY(),"Expired","Active"))</f>
        <v>Active</v>
      </c>
    </row>
    <row r="151" customFormat="false" ht="15" hidden="false" customHeight="false" outlineLevel="0" collapsed="false">
      <c r="A151" s="4" t="s">
        <v>463</v>
      </c>
      <c r="B151" s="5" t="s">
        <v>464</v>
      </c>
      <c r="C151" s="5" t="s">
        <v>205</v>
      </c>
      <c r="D151" s="5" t="s">
        <v>19</v>
      </c>
      <c r="E151" s="5" t="s">
        <v>341</v>
      </c>
      <c r="F151" s="5" t="s">
        <v>21</v>
      </c>
      <c r="G151" s="5" t="s">
        <v>21</v>
      </c>
      <c r="H151" s="6" t="n">
        <v>46308</v>
      </c>
      <c r="I151" s="6" t="n">
        <v>46308</v>
      </c>
      <c r="J151" s="7" t="s">
        <v>323</v>
      </c>
      <c r="K151" s="5" t="s">
        <v>23</v>
      </c>
      <c r="L151" s="6" t="n">
        <v>46673</v>
      </c>
      <c r="M151" s="5" t="s">
        <v>465</v>
      </c>
      <c r="N151" s="4" t="str">
        <f aca="true">IF(L151="","",IF(L151&lt;TODAY(),"Expired","Active"))</f>
        <v>Active</v>
      </c>
    </row>
    <row r="152" customFormat="false" ht="15" hidden="false" customHeight="false" outlineLevel="0" collapsed="false">
      <c r="A152" s="4" t="s">
        <v>466</v>
      </c>
      <c r="B152" s="5" t="s">
        <v>467</v>
      </c>
      <c r="C152" s="5" t="s">
        <v>327</v>
      </c>
      <c r="D152" s="5" t="s">
        <v>19</v>
      </c>
      <c r="E152" s="5" t="s">
        <v>341</v>
      </c>
      <c r="F152" s="5" t="s">
        <v>21</v>
      </c>
      <c r="G152" s="5" t="s">
        <v>21</v>
      </c>
      <c r="H152" s="6" t="n">
        <v>46308</v>
      </c>
      <c r="I152" s="6" t="n">
        <v>46308</v>
      </c>
      <c r="J152" s="7" t="s">
        <v>323</v>
      </c>
      <c r="K152" s="5" t="s">
        <v>23</v>
      </c>
      <c r="L152" s="6" t="n">
        <v>46673</v>
      </c>
      <c r="M152" s="5" t="s">
        <v>465</v>
      </c>
      <c r="N152" s="4" t="str">
        <f aca="true">IF(L152="","",IF(L152&lt;TODAY(),"Expired","Active"))</f>
        <v>Active</v>
      </c>
    </row>
    <row r="153" customFormat="false" ht="15" hidden="false" customHeight="false" outlineLevel="0" collapsed="false">
      <c r="A153" s="4" t="s">
        <v>468</v>
      </c>
      <c r="B153" s="5" t="s">
        <v>469</v>
      </c>
      <c r="C153" s="5" t="s">
        <v>330</v>
      </c>
      <c r="D153" s="5" t="s">
        <v>19</v>
      </c>
      <c r="E153" s="5" t="s">
        <v>341</v>
      </c>
      <c r="F153" s="5" t="s">
        <v>21</v>
      </c>
      <c r="G153" s="5" t="s">
        <v>21</v>
      </c>
      <c r="H153" s="6" t="n">
        <v>46308</v>
      </c>
      <c r="I153" s="6" t="n">
        <v>46308</v>
      </c>
      <c r="J153" s="7" t="s">
        <v>323</v>
      </c>
      <c r="K153" s="5" t="s">
        <v>23</v>
      </c>
      <c r="L153" s="6" t="n">
        <v>46673</v>
      </c>
      <c r="M153" s="5" t="s">
        <v>465</v>
      </c>
      <c r="N153" s="4" t="str">
        <f aca="true">IF(L153="","",IF(L153&lt;TODAY(),"Expired","Active"))</f>
        <v>Active</v>
      </c>
    </row>
    <row r="154" customFormat="false" ht="15" hidden="false" customHeight="false" outlineLevel="0" collapsed="false">
      <c r="A154" s="4" t="s">
        <v>470</v>
      </c>
      <c r="B154" s="5" t="s">
        <v>471</v>
      </c>
      <c r="C154" s="5" t="s">
        <v>205</v>
      </c>
      <c r="D154" s="5" t="s">
        <v>322</v>
      </c>
      <c r="E154" s="5" t="s">
        <v>341</v>
      </c>
      <c r="F154" s="5" t="s">
        <v>21</v>
      </c>
      <c r="G154" s="5" t="s">
        <v>74</v>
      </c>
      <c r="H154" s="6" t="n">
        <v>46308</v>
      </c>
      <c r="I154" s="6" t="n">
        <v>46308</v>
      </c>
      <c r="J154" s="7" t="s">
        <v>323</v>
      </c>
      <c r="K154" s="5" t="s">
        <v>23</v>
      </c>
      <c r="L154" s="6" t="n">
        <v>46673</v>
      </c>
      <c r="M154" s="5" t="s">
        <v>472</v>
      </c>
      <c r="N154" s="4" t="str">
        <f aca="true">IF(L154="","",IF(L154&lt;TODAY(),"Expired","Active"))</f>
        <v>Active</v>
      </c>
    </row>
    <row r="155" customFormat="false" ht="15" hidden="false" customHeight="false" outlineLevel="0" collapsed="false">
      <c r="A155" s="4" t="s">
        <v>473</v>
      </c>
      <c r="B155" s="5" t="s">
        <v>474</v>
      </c>
      <c r="C155" s="5" t="s">
        <v>327</v>
      </c>
      <c r="D155" s="5" t="s">
        <v>322</v>
      </c>
      <c r="E155" s="5" t="s">
        <v>341</v>
      </c>
      <c r="F155" s="5" t="s">
        <v>21</v>
      </c>
      <c r="G155" s="5" t="s">
        <v>74</v>
      </c>
      <c r="H155" s="6" t="n">
        <v>46308</v>
      </c>
      <c r="I155" s="6" t="n">
        <v>46308</v>
      </c>
      <c r="J155" s="7" t="s">
        <v>323</v>
      </c>
      <c r="K155" s="5" t="s">
        <v>23</v>
      </c>
      <c r="L155" s="6" t="n">
        <v>46673</v>
      </c>
      <c r="M155" s="5" t="s">
        <v>472</v>
      </c>
      <c r="N155" s="4" t="str">
        <f aca="true">IF(L155="","",IF(L155&lt;TODAY(),"Expired","Active"))</f>
        <v>Active</v>
      </c>
    </row>
    <row r="156" customFormat="false" ht="15" hidden="false" customHeight="false" outlineLevel="0" collapsed="false">
      <c r="A156" s="4" t="s">
        <v>475</v>
      </c>
      <c r="B156" s="5" t="s">
        <v>476</v>
      </c>
      <c r="C156" s="5" t="s">
        <v>330</v>
      </c>
      <c r="D156" s="5" t="s">
        <v>322</v>
      </c>
      <c r="E156" s="5" t="s">
        <v>341</v>
      </c>
      <c r="F156" s="5" t="s">
        <v>21</v>
      </c>
      <c r="G156" s="5" t="s">
        <v>74</v>
      </c>
      <c r="H156" s="6" t="n">
        <v>46308</v>
      </c>
      <c r="I156" s="6" t="n">
        <v>46308</v>
      </c>
      <c r="J156" s="7" t="s">
        <v>323</v>
      </c>
      <c r="K156" s="5" t="s">
        <v>23</v>
      </c>
      <c r="L156" s="6" t="n">
        <v>46673</v>
      </c>
      <c r="M156" s="5" t="s">
        <v>472</v>
      </c>
      <c r="N156" s="4" t="str">
        <f aca="true">IF(L156="","",IF(L156&lt;TODAY(),"Expired","Active"))</f>
        <v>Active</v>
      </c>
    </row>
    <row r="157" customFormat="false" ht="15" hidden="false" customHeight="false" outlineLevel="0" collapsed="false">
      <c r="A157" s="4" t="s">
        <v>477</v>
      </c>
      <c r="B157" s="5" t="s">
        <v>478</v>
      </c>
      <c r="C157" s="5" t="s">
        <v>349</v>
      </c>
      <c r="D157" s="5" t="s">
        <v>322</v>
      </c>
      <c r="E157" s="5" t="s">
        <v>341</v>
      </c>
      <c r="F157" s="5" t="s">
        <v>74</v>
      </c>
      <c r="G157" s="5" t="s">
        <v>74</v>
      </c>
      <c r="H157" s="6" t="n">
        <v>46308</v>
      </c>
      <c r="I157" s="6" t="n">
        <v>46308</v>
      </c>
      <c r="J157" s="7" t="s">
        <v>323</v>
      </c>
      <c r="K157" s="5" t="s">
        <v>350</v>
      </c>
      <c r="L157" s="6" t="n">
        <v>46398</v>
      </c>
      <c r="M157" s="5" t="s">
        <v>479</v>
      </c>
      <c r="N157" s="4" t="str">
        <f aca="true">IF(L157="","",IF(L157&lt;TODAY(),"Expired","Active"))</f>
        <v>Active</v>
      </c>
    </row>
    <row r="158" customFormat="false" ht="15" hidden="false" customHeight="false" outlineLevel="0" collapsed="false">
      <c r="A158" s="4" t="s">
        <v>480</v>
      </c>
      <c r="B158" s="5" t="s">
        <v>481</v>
      </c>
      <c r="C158" s="5" t="s">
        <v>205</v>
      </c>
      <c r="D158" s="5" t="s">
        <v>247</v>
      </c>
      <c r="E158" s="5"/>
      <c r="F158" s="5" t="s">
        <v>21</v>
      </c>
      <c r="G158" s="5" t="s">
        <v>74</v>
      </c>
      <c r="H158" s="6" t="n">
        <v>46308</v>
      </c>
      <c r="I158" s="6" t="n">
        <v>46308</v>
      </c>
      <c r="J158" s="7" t="s">
        <v>323</v>
      </c>
      <c r="K158" s="5" t="s">
        <v>23</v>
      </c>
      <c r="L158" s="6" t="n">
        <v>46673</v>
      </c>
      <c r="M158" s="5" t="s">
        <v>354</v>
      </c>
      <c r="N158" s="4" t="str">
        <f aca="true">IF(L158="","",IF(L158&lt;TODAY(),"Expired","Active"))</f>
        <v>Active</v>
      </c>
    </row>
    <row r="159" customFormat="false" ht="15" hidden="false" customHeight="false" outlineLevel="0" collapsed="false">
      <c r="A159" s="4" t="s">
        <v>482</v>
      </c>
      <c r="B159" s="5" t="s">
        <v>483</v>
      </c>
      <c r="C159" s="5" t="s">
        <v>327</v>
      </c>
      <c r="D159" s="5" t="s">
        <v>247</v>
      </c>
      <c r="E159" s="5"/>
      <c r="F159" s="5" t="s">
        <v>21</v>
      </c>
      <c r="G159" s="5" t="s">
        <v>74</v>
      </c>
      <c r="H159" s="6" t="n">
        <v>46308</v>
      </c>
      <c r="I159" s="6" t="n">
        <v>46308</v>
      </c>
      <c r="J159" s="7" t="s">
        <v>323</v>
      </c>
      <c r="K159" s="5" t="s">
        <v>23</v>
      </c>
      <c r="L159" s="6" t="n">
        <v>46673</v>
      </c>
      <c r="M159" s="5" t="s">
        <v>354</v>
      </c>
      <c r="N159" s="4" t="str">
        <f aca="true">IF(L159="","",IF(L159&lt;TODAY(),"Expired","Active"))</f>
        <v>Active</v>
      </c>
    </row>
    <row r="160" customFormat="false" ht="15" hidden="false" customHeight="false" outlineLevel="0" collapsed="false">
      <c r="A160" s="4" t="s">
        <v>484</v>
      </c>
      <c r="B160" s="5" t="s">
        <v>485</v>
      </c>
      <c r="C160" s="5" t="s">
        <v>330</v>
      </c>
      <c r="D160" s="5" t="s">
        <v>247</v>
      </c>
      <c r="E160" s="5"/>
      <c r="F160" s="5" t="s">
        <v>21</v>
      </c>
      <c r="G160" s="5" t="s">
        <v>74</v>
      </c>
      <c r="H160" s="6" t="n">
        <v>46308</v>
      </c>
      <c r="I160" s="6" t="n">
        <v>46308</v>
      </c>
      <c r="J160" s="7" t="s">
        <v>323</v>
      </c>
      <c r="K160" s="5" t="s">
        <v>23</v>
      </c>
      <c r="L160" s="6" t="n">
        <v>46673</v>
      </c>
      <c r="M160" s="5" t="s">
        <v>354</v>
      </c>
      <c r="N160" s="4" t="str">
        <f aca="true">IF(L160="","",IF(L160&lt;TODAY(),"Expired","Active"))</f>
        <v>Active</v>
      </c>
    </row>
    <row r="161" customFormat="false" ht="15" hidden="false" customHeight="false" outlineLevel="0" collapsed="false">
      <c r="A161" s="4" t="s">
        <v>486</v>
      </c>
      <c r="B161" s="5" t="s">
        <v>487</v>
      </c>
      <c r="C161" s="5" t="s">
        <v>205</v>
      </c>
      <c r="D161" s="5" t="s">
        <v>247</v>
      </c>
      <c r="E161" s="5"/>
      <c r="F161" s="5" t="s">
        <v>21</v>
      </c>
      <c r="G161" s="5" t="s">
        <v>74</v>
      </c>
      <c r="H161" s="6" t="n">
        <v>46308</v>
      </c>
      <c r="I161" s="6" t="n">
        <v>46308</v>
      </c>
      <c r="J161" s="7" t="s">
        <v>323</v>
      </c>
      <c r="K161" s="5" t="s">
        <v>23</v>
      </c>
      <c r="L161" s="6" t="n">
        <v>46673</v>
      </c>
      <c r="M161" s="5" t="s">
        <v>488</v>
      </c>
      <c r="N161" s="4" t="str">
        <f aca="true">IF(L161="","",IF(L161&lt;TODAY(),"Expired","Active"))</f>
        <v>Active</v>
      </c>
    </row>
    <row r="162" customFormat="false" ht="15" hidden="false" customHeight="false" outlineLevel="0" collapsed="false">
      <c r="A162" s="4" t="s">
        <v>489</v>
      </c>
      <c r="B162" s="5" t="s">
        <v>490</v>
      </c>
      <c r="C162" s="5" t="s">
        <v>327</v>
      </c>
      <c r="D162" s="5" t="s">
        <v>247</v>
      </c>
      <c r="E162" s="5"/>
      <c r="F162" s="5" t="s">
        <v>21</v>
      </c>
      <c r="G162" s="5" t="s">
        <v>74</v>
      </c>
      <c r="H162" s="6" t="n">
        <v>46308</v>
      </c>
      <c r="I162" s="6" t="n">
        <v>46308</v>
      </c>
      <c r="J162" s="7" t="s">
        <v>323</v>
      </c>
      <c r="K162" s="5" t="s">
        <v>23</v>
      </c>
      <c r="L162" s="6" t="n">
        <v>46673</v>
      </c>
      <c r="M162" s="5" t="s">
        <v>488</v>
      </c>
      <c r="N162" s="4" t="str">
        <f aca="true">IF(L162="","",IF(L162&lt;TODAY(),"Expired","Active"))</f>
        <v>Active</v>
      </c>
    </row>
    <row r="163" customFormat="false" ht="15" hidden="false" customHeight="false" outlineLevel="0" collapsed="false">
      <c r="A163" s="4" t="s">
        <v>491</v>
      </c>
      <c r="B163" s="5" t="s">
        <v>492</v>
      </c>
      <c r="C163" s="5" t="s">
        <v>330</v>
      </c>
      <c r="D163" s="5" t="s">
        <v>247</v>
      </c>
      <c r="E163" s="5"/>
      <c r="F163" s="5" t="s">
        <v>21</v>
      </c>
      <c r="G163" s="5" t="s">
        <v>74</v>
      </c>
      <c r="H163" s="6" t="n">
        <v>46308</v>
      </c>
      <c r="I163" s="6" t="n">
        <v>46308</v>
      </c>
      <c r="J163" s="7" t="s">
        <v>323</v>
      </c>
      <c r="K163" s="5" t="s">
        <v>23</v>
      </c>
      <c r="L163" s="6" t="n">
        <v>46673</v>
      </c>
      <c r="M163" s="5" t="s">
        <v>488</v>
      </c>
      <c r="N163" s="4" t="str">
        <f aca="true">IF(L163="","",IF(L163&lt;TODAY(),"Expired","Active"))</f>
        <v>Active</v>
      </c>
    </row>
    <row r="164" customFormat="false" ht="15" hidden="false" customHeight="false" outlineLevel="0" collapsed="false">
      <c r="A164" s="4" t="s">
        <v>493</v>
      </c>
      <c r="B164" s="5" t="s">
        <v>494</v>
      </c>
      <c r="C164" s="5" t="s">
        <v>205</v>
      </c>
      <c r="D164" s="5" t="s">
        <v>247</v>
      </c>
      <c r="E164" s="5"/>
      <c r="F164" s="5" t="s">
        <v>21</v>
      </c>
      <c r="G164" s="5" t="s">
        <v>74</v>
      </c>
      <c r="H164" s="6" t="n">
        <v>46308</v>
      </c>
      <c r="I164" s="6" t="n">
        <v>46308</v>
      </c>
      <c r="J164" s="7" t="s">
        <v>323</v>
      </c>
      <c r="K164" s="5" t="s">
        <v>23</v>
      </c>
      <c r="L164" s="6" t="n">
        <v>46673</v>
      </c>
      <c r="M164" s="5" t="s">
        <v>495</v>
      </c>
      <c r="N164" s="4" t="str">
        <f aca="true">IF(L164="","",IF(L164&lt;TODAY(),"Expired","Active"))</f>
        <v>Active</v>
      </c>
    </row>
    <row r="165" customFormat="false" ht="15" hidden="false" customHeight="false" outlineLevel="0" collapsed="false">
      <c r="A165" s="4" t="s">
        <v>496</v>
      </c>
      <c r="B165" s="5" t="s">
        <v>497</v>
      </c>
      <c r="C165" s="5" t="s">
        <v>327</v>
      </c>
      <c r="D165" s="5" t="s">
        <v>247</v>
      </c>
      <c r="E165" s="5"/>
      <c r="F165" s="5" t="s">
        <v>21</v>
      </c>
      <c r="G165" s="5" t="s">
        <v>74</v>
      </c>
      <c r="H165" s="6" t="n">
        <v>46308</v>
      </c>
      <c r="I165" s="6" t="n">
        <v>46308</v>
      </c>
      <c r="J165" s="7" t="s">
        <v>323</v>
      </c>
      <c r="K165" s="5" t="s">
        <v>23</v>
      </c>
      <c r="L165" s="6" t="n">
        <v>46673</v>
      </c>
      <c r="M165" s="5" t="s">
        <v>495</v>
      </c>
      <c r="N165" s="4" t="str">
        <f aca="true">IF(L165="","",IF(L165&lt;TODAY(),"Expired","Active"))</f>
        <v>Active</v>
      </c>
    </row>
    <row r="166" customFormat="false" ht="15" hidden="false" customHeight="false" outlineLevel="0" collapsed="false">
      <c r="A166" s="4" t="s">
        <v>498</v>
      </c>
      <c r="B166" s="5" t="s">
        <v>499</v>
      </c>
      <c r="C166" s="5" t="s">
        <v>330</v>
      </c>
      <c r="D166" s="5" t="s">
        <v>247</v>
      </c>
      <c r="E166" s="5"/>
      <c r="F166" s="5" t="s">
        <v>21</v>
      </c>
      <c r="G166" s="5" t="s">
        <v>74</v>
      </c>
      <c r="H166" s="6" t="n">
        <v>46308</v>
      </c>
      <c r="I166" s="6" t="n">
        <v>46308</v>
      </c>
      <c r="J166" s="7" t="s">
        <v>323</v>
      </c>
      <c r="K166" s="5" t="s">
        <v>23</v>
      </c>
      <c r="L166" s="6" t="n">
        <v>46673</v>
      </c>
      <c r="M166" s="5" t="s">
        <v>495</v>
      </c>
      <c r="N166" s="4" t="str">
        <f aca="true">IF(L166="","",IF(L166&lt;TODAY(),"Expired","Active"))</f>
        <v>Active</v>
      </c>
    </row>
    <row r="167" customFormat="false" ht="15" hidden="false" customHeight="false" outlineLevel="0" collapsed="false">
      <c r="A167" s="4" t="s">
        <v>500</v>
      </c>
      <c r="B167" s="5" t="s">
        <v>501</v>
      </c>
      <c r="C167" s="5" t="s">
        <v>205</v>
      </c>
      <c r="D167" s="5" t="s">
        <v>247</v>
      </c>
      <c r="E167" s="5"/>
      <c r="F167" s="5" t="s">
        <v>21</v>
      </c>
      <c r="G167" s="5" t="s">
        <v>74</v>
      </c>
      <c r="H167" s="6" t="n">
        <v>46308</v>
      </c>
      <c r="I167" s="6" t="n">
        <v>46308</v>
      </c>
      <c r="J167" s="7" t="s">
        <v>323</v>
      </c>
      <c r="K167" s="5" t="s">
        <v>23</v>
      </c>
      <c r="L167" s="6" t="n">
        <v>46673</v>
      </c>
      <c r="M167" s="5" t="s">
        <v>502</v>
      </c>
      <c r="N167" s="4" t="str">
        <f aca="true">IF(L167="","",IF(L167&lt;TODAY(),"Expired","Active"))</f>
        <v>Active</v>
      </c>
    </row>
    <row r="168" customFormat="false" ht="15" hidden="false" customHeight="false" outlineLevel="0" collapsed="false">
      <c r="A168" s="4" t="s">
        <v>503</v>
      </c>
      <c r="B168" s="5" t="s">
        <v>504</v>
      </c>
      <c r="C168" s="5" t="s">
        <v>327</v>
      </c>
      <c r="D168" s="5" t="s">
        <v>247</v>
      </c>
      <c r="E168" s="5"/>
      <c r="F168" s="5" t="s">
        <v>21</v>
      </c>
      <c r="G168" s="5" t="s">
        <v>74</v>
      </c>
      <c r="H168" s="6" t="n">
        <v>46308</v>
      </c>
      <c r="I168" s="6" t="n">
        <v>46308</v>
      </c>
      <c r="J168" s="7" t="s">
        <v>323</v>
      </c>
      <c r="K168" s="5" t="s">
        <v>23</v>
      </c>
      <c r="L168" s="6" t="n">
        <v>46673</v>
      </c>
      <c r="M168" s="5" t="s">
        <v>502</v>
      </c>
      <c r="N168" s="4" t="str">
        <f aca="true">IF(L168="","",IF(L168&lt;TODAY(),"Expired","Active"))</f>
        <v>Active</v>
      </c>
    </row>
    <row r="169" customFormat="false" ht="15" hidden="false" customHeight="false" outlineLevel="0" collapsed="false">
      <c r="A169" s="4" t="s">
        <v>505</v>
      </c>
      <c r="B169" s="5" t="s">
        <v>506</v>
      </c>
      <c r="C169" s="5" t="s">
        <v>330</v>
      </c>
      <c r="D169" s="5" t="s">
        <v>247</v>
      </c>
      <c r="E169" s="5"/>
      <c r="F169" s="5" t="s">
        <v>21</v>
      </c>
      <c r="G169" s="5" t="s">
        <v>74</v>
      </c>
      <c r="H169" s="6" t="n">
        <v>46308</v>
      </c>
      <c r="I169" s="6" t="n">
        <v>46308</v>
      </c>
      <c r="J169" s="7" t="s">
        <v>323</v>
      </c>
      <c r="K169" s="5" t="s">
        <v>23</v>
      </c>
      <c r="L169" s="6" t="n">
        <v>46673</v>
      </c>
      <c r="M169" s="5" t="s">
        <v>502</v>
      </c>
      <c r="N169" s="4" t="str">
        <f aca="true">IF(L169="","",IF(L169&lt;TODAY(),"Expired","Active"))</f>
        <v>Active</v>
      </c>
    </row>
    <row r="170" customFormat="false" ht="15" hidden="false" customHeight="false" outlineLevel="0" collapsed="false">
      <c r="A170" s="4" t="s">
        <v>507</v>
      </c>
      <c r="B170" s="5" t="s">
        <v>508</v>
      </c>
      <c r="C170" s="5" t="s">
        <v>205</v>
      </c>
      <c r="D170" s="5" t="s">
        <v>322</v>
      </c>
      <c r="E170" s="5"/>
      <c r="F170" s="5" t="s">
        <v>21</v>
      </c>
      <c r="G170" s="5" t="s">
        <v>74</v>
      </c>
      <c r="H170" s="6" t="n">
        <v>46308</v>
      </c>
      <c r="I170" s="6" t="n">
        <v>46308</v>
      </c>
      <c r="J170" s="7" t="s">
        <v>323</v>
      </c>
      <c r="K170" s="5" t="s">
        <v>23</v>
      </c>
      <c r="L170" s="6" t="n">
        <v>46673</v>
      </c>
      <c r="M170" s="5" t="s">
        <v>509</v>
      </c>
      <c r="N170" s="4" t="str">
        <f aca="true">IF(L170="","",IF(L170&lt;TODAY(),"Expired","Active"))</f>
        <v>Active</v>
      </c>
    </row>
    <row r="171" customFormat="false" ht="15" hidden="false" customHeight="false" outlineLevel="0" collapsed="false">
      <c r="A171" s="4" t="s">
        <v>510</v>
      </c>
      <c r="B171" s="5" t="s">
        <v>511</v>
      </c>
      <c r="C171" s="5" t="s">
        <v>327</v>
      </c>
      <c r="D171" s="5" t="s">
        <v>322</v>
      </c>
      <c r="E171" s="5"/>
      <c r="F171" s="5" t="s">
        <v>21</v>
      </c>
      <c r="G171" s="5" t="s">
        <v>74</v>
      </c>
      <c r="H171" s="6" t="n">
        <v>46308</v>
      </c>
      <c r="I171" s="6" t="n">
        <v>46308</v>
      </c>
      <c r="J171" s="7" t="s">
        <v>323</v>
      </c>
      <c r="K171" s="5" t="s">
        <v>23</v>
      </c>
      <c r="L171" s="6" t="n">
        <v>46673</v>
      </c>
      <c r="M171" s="5" t="s">
        <v>509</v>
      </c>
      <c r="N171" s="4" t="str">
        <f aca="true">IF(L171="","",IF(L171&lt;TODAY(),"Expired","Active"))</f>
        <v>Active</v>
      </c>
    </row>
    <row r="172" customFormat="false" ht="15" hidden="false" customHeight="false" outlineLevel="0" collapsed="false">
      <c r="A172" s="4" t="s">
        <v>512</v>
      </c>
      <c r="B172" s="5" t="s">
        <v>513</v>
      </c>
      <c r="C172" s="5" t="s">
        <v>330</v>
      </c>
      <c r="D172" s="5" t="s">
        <v>322</v>
      </c>
      <c r="E172" s="5"/>
      <c r="F172" s="5" t="s">
        <v>21</v>
      </c>
      <c r="G172" s="5" t="s">
        <v>74</v>
      </c>
      <c r="H172" s="6" t="n">
        <v>46308</v>
      </c>
      <c r="I172" s="6" t="n">
        <v>46308</v>
      </c>
      <c r="J172" s="7" t="s">
        <v>323</v>
      </c>
      <c r="K172" s="5" t="s">
        <v>23</v>
      </c>
      <c r="L172" s="6" t="n">
        <v>46673</v>
      </c>
      <c r="M172" s="5" t="s">
        <v>509</v>
      </c>
      <c r="N172" s="4" t="str">
        <f aca="true">IF(L172="","",IF(L172&lt;TODAY(),"Expired","Active"))</f>
        <v>Active</v>
      </c>
    </row>
    <row r="173" customFormat="false" ht="15" hidden="false" customHeight="false" outlineLevel="0" collapsed="false">
      <c r="A173" s="4" t="s">
        <v>514</v>
      </c>
      <c r="B173" s="5" t="s">
        <v>515</v>
      </c>
      <c r="C173" s="5" t="s">
        <v>205</v>
      </c>
      <c r="D173" s="5" t="s">
        <v>322</v>
      </c>
      <c r="E173" s="5"/>
      <c r="F173" s="5" t="s">
        <v>21</v>
      </c>
      <c r="G173" s="5" t="s">
        <v>74</v>
      </c>
      <c r="H173" s="6" t="n">
        <v>46308</v>
      </c>
      <c r="I173" s="6" t="n">
        <v>46308</v>
      </c>
      <c r="J173" s="7" t="s">
        <v>323</v>
      </c>
      <c r="K173" s="5" t="s">
        <v>23</v>
      </c>
      <c r="L173" s="6" t="n">
        <v>46673</v>
      </c>
      <c r="M173" s="5" t="s">
        <v>516</v>
      </c>
      <c r="N173" s="4" t="str">
        <f aca="true">IF(L173="","",IF(L173&lt;TODAY(),"Expired","Active"))</f>
        <v>Active</v>
      </c>
    </row>
    <row r="174" customFormat="false" ht="15" hidden="false" customHeight="false" outlineLevel="0" collapsed="false">
      <c r="A174" s="4" t="s">
        <v>517</v>
      </c>
      <c r="B174" s="5" t="s">
        <v>518</v>
      </c>
      <c r="C174" s="5" t="s">
        <v>327</v>
      </c>
      <c r="D174" s="5" t="s">
        <v>322</v>
      </c>
      <c r="E174" s="5"/>
      <c r="F174" s="5" t="s">
        <v>21</v>
      </c>
      <c r="G174" s="5" t="s">
        <v>74</v>
      </c>
      <c r="H174" s="6" t="n">
        <v>46308</v>
      </c>
      <c r="I174" s="6" t="n">
        <v>46308</v>
      </c>
      <c r="J174" s="7" t="s">
        <v>323</v>
      </c>
      <c r="K174" s="5" t="s">
        <v>23</v>
      </c>
      <c r="L174" s="6" t="n">
        <v>46673</v>
      </c>
      <c r="M174" s="5" t="s">
        <v>516</v>
      </c>
      <c r="N174" s="4" t="str">
        <f aca="true">IF(L174="","",IF(L174&lt;TODAY(),"Expired","Active"))</f>
        <v>Active</v>
      </c>
    </row>
    <row r="175" customFormat="false" ht="15" hidden="false" customHeight="false" outlineLevel="0" collapsed="false">
      <c r="A175" s="4" t="s">
        <v>519</v>
      </c>
      <c r="B175" s="5" t="s">
        <v>520</v>
      </c>
      <c r="C175" s="5" t="s">
        <v>330</v>
      </c>
      <c r="D175" s="5" t="s">
        <v>322</v>
      </c>
      <c r="E175" s="5"/>
      <c r="F175" s="5" t="s">
        <v>21</v>
      </c>
      <c r="G175" s="5" t="s">
        <v>74</v>
      </c>
      <c r="H175" s="6" t="n">
        <v>46308</v>
      </c>
      <c r="I175" s="6" t="n">
        <v>46308</v>
      </c>
      <c r="J175" s="7" t="s">
        <v>323</v>
      </c>
      <c r="K175" s="5" t="s">
        <v>23</v>
      </c>
      <c r="L175" s="6" t="n">
        <v>46673</v>
      </c>
      <c r="M175" s="5" t="s">
        <v>516</v>
      </c>
      <c r="N175" s="4" t="str">
        <f aca="true">IF(L175="","",IF(L175&lt;TODAY(),"Expired","Active"))</f>
        <v>Active</v>
      </c>
    </row>
    <row r="176" customFormat="false" ht="15" hidden="false" customHeight="false" outlineLevel="0" collapsed="false">
      <c r="A176" s="4" t="s">
        <v>521</v>
      </c>
      <c r="B176" s="5" t="s">
        <v>522</v>
      </c>
      <c r="C176" s="5" t="s">
        <v>157</v>
      </c>
      <c r="D176" s="5" t="s">
        <v>523</v>
      </c>
      <c r="E176" s="5" t="s">
        <v>20</v>
      </c>
      <c r="F176" s="5" t="s">
        <v>74</v>
      </c>
      <c r="G176" s="5" t="s">
        <v>21</v>
      </c>
      <c r="H176" s="6" t="n">
        <v>44716</v>
      </c>
      <c r="I176" s="6" t="n">
        <v>46088</v>
      </c>
      <c r="J176" s="7" t="s">
        <v>524</v>
      </c>
      <c r="K176" s="5" t="s">
        <v>23</v>
      </c>
      <c r="L176" s="6" t="n">
        <v>46118</v>
      </c>
      <c r="M176" s="5" t="s">
        <v>525</v>
      </c>
      <c r="N176" s="4" t="str">
        <f aca="true">IF(L176="","",IF(L176&lt;TODAY(),"Expired","Active"))</f>
        <v>Expired</v>
      </c>
    </row>
    <row r="177" customFormat="false" ht="15" hidden="false" customHeight="false" outlineLevel="0" collapsed="false">
      <c r="A177" s="4" t="s">
        <v>526</v>
      </c>
      <c r="B177" s="5" t="s">
        <v>527</v>
      </c>
      <c r="C177" s="5" t="s">
        <v>157</v>
      </c>
      <c r="D177" s="5" t="s">
        <v>528</v>
      </c>
      <c r="E177" s="5" t="s">
        <v>20</v>
      </c>
      <c r="F177" s="5" t="s">
        <v>74</v>
      </c>
      <c r="G177" s="5" t="s">
        <v>21</v>
      </c>
      <c r="H177" s="6" t="n">
        <v>46021</v>
      </c>
      <c r="I177" s="6" t="n">
        <v>46093</v>
      </c>
      <c r="J177" s="7" t="s">
        <v>524</v>
      </c>
      <c r="K177" s="5" t="s">
        <v>23</v>
      </c>
      <c r="L177" s="6" t="n">
        <v>46123</v>
      </c>
      <c r="M177" s="5" t="s">
        <v>529</v>
      </c>
      <c r="N177" s="4" t="str">
        <f aca="true">IF(L177="","",IF(L177&lt;TODAY(),"Expired","Active"))</f>
        <v>Expired</v>
      </c>
    </row>
    <row r="178" customFormat="false" ht="15" hidden="false" customHeight="false" outlineLevel="0" collapsed="false">
      <c r="A178" s="4" t="s">
        <v>530</v>
      </c>
      <c r="B178" s="5" t="s">
        <v>531</v>
      </c>
      <c r="C178" s="5" t="s">
        <v>157</v>
      </c>
      <c r="D178" s="5" t="s">
        <v>528</v>
      </c>
      <c r="E178" s="5" t="s">
        <v>20</v>
      </c>
      <c r="F178" s="5" t="s">
        <v>74</v>
      </c>
      <c r="G178" s="5" t="s">
        <v>21</v>
      </c>
      <c r="H178" s="6" t="n">
        <v>46035</v>
      </c>
      <c r="I178" s="6" t="n">
        <v>46082</v>
      </c>
      <c r="J178" s="7" t="s">
        <v>524</v>
      </c>
      <c r="K178" s="5" t="s">
        <v>23</v>
      </c>
      <c r="L178" s="6" t="n">
        <v>46112</v>
      </c>
      <c r="M178" s="5" t="s">
        <v>532</v>
      </c>
      <c r="N178" s="4" t="str">
        <f aca="true">IF(L178="","",IF(L178&lt;TODAY(),"Expired","Active"))</f>
        <v>Expired</v>
      </c>
    </row>
    <row r="179" customFormat="false" ht="15" hidden="false" customHeight="false" outlineLevel="0" collapsed="false">
      <c r="A179" s="4" t="s">
        <v>533</v>
      </c>
      <c r="B179" s="5" t="s">
        <v>534</v>
      </c>
      <c r="C179" s="5" t="s">
        <v>157</v>
      </c>
      <c r="D179" s="5" t="s">
        <v>528</v>
      </c>
      <c r="E179" s="5" t="s">
        <v>20</v>
      </c>
      <c r="F179" s="5" t="s">
        <v>74</v>
      </c>
      <c r="G179" s="5" t="s">
        <v>21</v>
      </c>
      <c r="H179" s="6" t="n">
        <v>46070</v>
      </c>
      <c r="I179" s="6" t="n">
        <v>46071</v>
      </c>
      <c r="J179" s="7" t="s">
        <v>524</v>
      </c>
      <c r="K179" s="5" t="s">
        <v>23</v>
      </c>
      <c r="L179" s="6" t="n">
        <v>46101</v>
      </c>
      <c r="M179" s="5" t="s">
        <v>535</v>
      </c>
      <c r="N179" s="4" t="str">
        <f aca="true">IF(L179="","",IF(L179&lt;TODAY(),"Expired","Active"))</f>
        <v>Expired</v>
      </c>
    </row>
    <row r="180" customFormat="false" ht="15" hidden="false" customHeight="false" outlineLevel="0" collapsed="false">
      <c r="A180" s="4" t="s">
        <v>536</v>
      </c>
      <c r="B180" s="5" t="s">
        <v>537</v>
      </c>
      <c r="C180" s="5" t="s">
        <v>157</v>
      </c>
      <c r="D180" s="5" t="s">
        <v>528</v>
      </c>
      <c r="E180" s="5" t="s">
        <v>20</v>
      </c>
      <c r="F180" s="5" t="s">
        <v>74</v>
      </c>
      <c r="G180" s="5" t="s">
        <v>21</v>
      </c>
      <c r="H180" s="6" t="n">
        <v>46085</v>
      </c>
      <c r="I180" s="6" t="n">
        <v>46086</v>
      </c>
      <c r="J180" s="7" t="s">
        <v>524</v>
      </c>
      <c r="K180" s="5" t="s">
        <v>23</v>
      </c>
      <c r="L180" s="6" t="n">
        <v>46116</v>
      </c>
      <c r="M180" s="5" t="s">
        <v>538</v>
      </c>
      <c r="N180" s="4" t="str">
        <f aca="true">IF(L180="","",IF(L180&lt;TODAY(),"Expired","Active"))</f>
        <v>Expired</v>
      </c>
    </row>
    <row r="181" customFormat="false" ht="15" hidden="false" customHeight="false" outlineLevel="0" collapsed="false">
      <c r="A181" s="4"/>
      <c r="B181" s="5"/>
      <c r="C181" s="5"/>
      <c r="D181" s="5"/>
      <c r="E181" s="5"/>
      <c r="F181" s="5"/>
      <c r="G181" s="5"/>
      <c r="H181" s="6"/>
      <c r="I181" s="6"/>
      <c r="J181" s="5"/>
      <c r="K181" s="5"/>
      <c r="L181" s="6"/>
      <c r="M181" s="5"/>
      <c r="N181" s="4" t="str">
        <f aca="true">IF(L181="","",IF(L181&lt;TODAY(),"Expired","Active"))</f>
        <v/>
      </c>
    </row>
    <row r="182" customFormat="false" ht="15" hidden="false" customHeight="false" outlineLevel="0" collapsed="false">
      <c r="A182" s="4"/>
      <c r="B182" s="5"/>
      <c r="C182" s="5"/>
      <c r="D182" s="5"/>
      <c r="E182" s="5"/>
      <c r="F182" s="5"/>
      <c r="G182" s="5"/>
      <c r="H182" s="6"/>
      <c r="I182" s="6"/>
      <c r="J182" s="5"/>
      <c r="K182" s="5"/>
      <c r="L182" s="6"/>
      <c r="M182" s="5"/>
      <c r="N182" s="4" t="str">
        <f aca="true">IF(L182="","",IF(L182&lt;TODAY(),"Expired","Active"))</f>
        <v/>
      </c>
    </row>
    <row r="183" customFormat="false" ht="15" hidden="false" customHeight="false" outlineLevel="0" collapsed="false">
      <c r="A183" s="4"/>
      <c r="B183" s="5"/>
      <c r="C183" s="5"/>
      <c r="D183" s="5"/>
      <c r="E183" s="5"/>
      <c r="F183" s="5"/>
      <c r="G183" s="5"/>
      <c r="H183" s="6"/>
      <c r="I183" s="6"/>
      <c r="J183" s="5"/>
      <c r="K183" s="5"/>
      <c r="L183" s="6"/>
      <c r="M183" s="5"/>
      <c r="N183" s="4" t="str">
        <f aca="true">IF(L183="","",IF(L183&lt;TODAY(),"Expired","Active"))</f>
        <v/>
      </c>
    </row>
    <row r="184" customFormat="false" ht="15" hidden="false" customHeight="false" outlineLevel="0" collapsed="false">
      <c r="A184" s="4"/>
      <c r="B184" s="5"/>
      <c r="C184" s="5"/>
      <c r="D184" s="5"/>
      <c r="E184" s="5"/>
      <c r="F184" s="5"/>
      <c r="G184" s="5"/>
      <c r="H184" s="6"/>
      <c r="I184" s="6"/>
      <c r="J184" s="5"/>
      <c r="K184" s="5"/>
      <c r="L184" s="6"/>
      <c r="M184" s="5"/>
      <c r="N184" s="4" t="str">
        <f aca="true">IF(L184="","",IF(L184&lt;TODAY(),"Expired","Active"))</f>
        <v/>
      </c>
    </row>
    <row r="185" customFormat="false" ht="15" hidden="false" customHeight="false" outlineLevel="0" collapsed="false">
      <c r="A185" s="4"/>
      <c r="B185" s="5"/>
      <c r="C185" s="5"/>
      <c r="D185" s="5"/>
      <c r="E185" s="5"/>
      <c r="F185" s="5"/>
      <c r="G185" s="5"/>
      <c r="H185" s="6"/>
      <c r="I185" s="6"/>
      <c r="J185" s="5"/>
      <c r="K185" s="5"/>
      <c r="L185" s="6"/>
      <c r="M185" s="5"/>
      <c r="N185" s="4" t="str">
        <f aca="true">IF(L185="","",IF(L185&lt;TODAY(),"Expired","Active"))</f>
        <v/>
      </c>
    </row>
    <row r="186" customFormat="false" ht="15" hidden="false" customHeight="false" outlineLevel="0" collapsed="false">
      <c r="A186" s="4"/>
      <c r="B186" s="5"/>
      <c r="C186" s="5"/>
      <c r="D186" s="5"/>
      <c r="E186" s="5"/>
      <c r="F186" s="5"/>
      <c r="G186" s="5"/>
      <c r="H186" s="6"/>
      <c r="I186" s="6"/>
      <c r="J186" s="5"/>
      <c r="K186" s="5"/>
      <c r="L186" s="6"/>
      <c r="M186" s="5"/>
      <c r="N186" s="4" t="str">
        <f aca="true">IF(L186="","",IF(L186&lt;TODAY(),"Expired","Active"))</f>
        <v/>
      </c>
    </row>
    <row r="187" customFormat="false" ht="15" hidden="false" customHeight="false" outlineLevel="0" collapsed="false">
      <c r="A187" s="4"/>
      <c r="B187" s="5"/>
      <c r="C187" s="5"/>
      <c r="D187" s="5"/>
      <c r="E187" s="5"/>
      <c r="F187" s="5"/>
      <c r="G187" s="5"/>
      <c r="H187" s="6"/>
      <c r="I187" s="6"/>
      <c r="J187" s="5"/>
      <c r="K187" s="5"/>
      <c r="L187" s="6"/>
      <c r="M187" s="5"/>
      <c r="N187" s="4" t="str">
        <f aca="true">IF(L187="","",IF(L187&lt;TODAY(),"Expired","Active"))</f>
        <v/>
      </c>
    </row>
    <row r="188" customFormat="false" ht="15" hidden="false" customHeight="false" outlineLevel="0" collapsed="false">
      <c r="A188" s="4"/>
      <c r="B188" s="5"/>
      <c r="C188" s="5"/>
      <c r="D188" s="5"/>
      <c r="E188" s="5"/>
      <c r="F188" s="5"/>
      <c r="G188" s="5"/>
      <c r="H188" s="6"/>
      <c r="I188" s="6"/>
      <c r="J188" s="5"/>
      <c r="K188" s="5"/>
      <c r="L188" s="6"/>
      <c r="M188" s="5"/>
      <c r="N188" s="4" t="str">
        <f aca="true">IF(L188="","",IF(L188&lt;TODAY(),"Expired","Active"))</f>
        <v/>
      </c>
    </row>
    <row r="189" customFormat="false" ht="15" hidden="false" customHeight="false" outlineLevel="0" collapsed="false">
      <c r="A189" s="4"/>
      <c r="B189" s="5"/>
      <c r="C189" s="5"/>
      <c r="D189" s="5"/>
      <c r="E189" s="5"/>
      <c r="F189" s="5"/>
      <c r="G189" s="5"/>
      <c r="H189" s="6"/>
      <c r="I189" s="6"/>
      <c r="J189" s="5"/>
      <c r="K189" s="5"/>
      <c r="L189" s="6"/>
      <c r="M189" s="5"/>
      <c r="N189" s="4" t="str">
        <f aca="true">IF(L189="","",IF(L189&lt;TODAY(),"Expired","Active"))</f>
        <v/>
      </c>
    </row>
    <row r="190" customFormat="false" ht="15" hidden="false" customHeight="false" outlineLevel="0" collapsed="false">
      <c r="A190" s="4"/>
      <c r="B190" s="5"/>
      <c r="C190" s="5"/>
      <c r="D190" s="5"/>
      <c r="E190" s="5"/>
      <c r="F190" s="5"/>
      <c r="G190" s="5"/>
      <c r="H190" s="6"/>
      <c r="I190" s="6"/>
      <c r="J190" s="5"/>
      <c r="K190" s="5"/>
      <c r="L190" s="6"/>
      <c r="M190" s="5"/>
      <c r="N190" s="4" t="str">
        <f aca="true">IF(L190="","",IF(L190&lt;TODAY(),"Expired","Active"))</f>
        <v/>
      </c>
    </row>
    <row r="191" customFormat="false" ht="15" hidden="false" customHeight="false" outlineLevel="0" collapsed="false">
      <c r="A191" s="4"/>
      <c r="B191" s="5"/>
      <c r="C191" s="5"/>
      <c r="D191" s="5"/>
      <c r="E191" s="5"/>
      <c r="F191" s="5"/>
      <c r="G191" s="5"/>
      <c r="H191" s="6"/>
      <c r="I191" s="6"/>
      <c r="J191" s="5"/>
      <c r="K191" s="5"/>
      <c r="L191" s="6"/>
      <c r="M191" s="5"/>
      <c r="N191" s="4" t="str">
        <f aca="true">IF(L191="","",IF(L191&lt;TODAY(),"Expired","Active"))</f>
        <v/>
      </c>
    </row>
    <row r="192" customFormat="false" ht="15" hidden="false" customHeight="false" outlineLevel="0" collapsed="false">
      <c r="A192" s="4"/>
      <c r="B192" s="5"/>
      <c r="C192" s="5"/>
      <c r="D192" s="5"/>
      <c r="E192" s="5"/>
      <c r="F192" s="5"/>
      <c r="G192" s="5"/>
      <c r="H192" s="6"/>
      <c r="I192" s="6"/>
      <c r="J192" s="5"/>
      <c r="K192" s="5"/>
      <c r="L192" s="6"/>
      <c r="M192" s="5"/>
      <c r="N192" s="4" t="str">
        <f aca="true">IF(L192="","",IF(L192&lt;TODAY(),"Expired","Active"))</f>
        <v/>
      </c>
    </row>
    <row r="193" customFormat="false" ht="15" hidden="false" customHeight="false" outlineLevel="0" collapsed="false">
      <c r="A193" s="4"/>
      <c r="B193" s="5"/>
      <c r="C193" s="5"/>
      <c r="D193" s="5"/>
      <c r="E193" s="5"/>
      <c r="F193" s="5"/>
      <c r="G193" s="5"/>
      <c r="H193" s="6"/>
      <c r="I193" s="6"/>
      <c r="J193" s="5"/>
      <c r="K193" s="5"/>
      <c r="L193" s="6"/>
      <c r="M193" s="5"/>
      <c r="N193" s="4" t="str">
        <f aca="true">IF(L193="","",IF(L193&lt;TODAY(),"Expired","Active"))</f>
        <v/>
      </c>
    </row>
    <row r="194" customFormat="false" ht="15" hidden="false" customHeight="false" outlineLevel="0" collapsed="false">
      <c r="A194" s="4"/>
      <c r="B194" s="5"/>
      <c r="C194" s="5"/>
      <c r="D194" s="5"/>
      <c r="E194" s="5"/>
      <c r="F194" s="5"/>
      <c r="G194" s="5"/>
      <c r="H194" s="6"/>
      <c r="I194" s="6"/>
      <c r="J194" s="5"/>
      <c r="K194" s="5"/>
      <c r="L194" s="6"/>
      <c r="M194" s="5"/>
      <c r="N194" s="4" t="str">
        <f aca="true">IF(L194="","",IF(L194&lt;TODAY(),"Expired","Active"))</f>
        <v/>
      </c>
    </row>
    <row r="195" customFormat="false" ht="15" hidden="false" customHeight="false" outlineLevel="0" collapsed="false">
      <c r="A195" s="4"/>
      <c r="B195" s="5"/>
      <c r="C195" s="5"/>
      <c r="D195" s="5"/>
      <c r="E195" s="5"/>
      <c r="F195" s="5"/>
      <c r="G195" s="5"/>
      <c r="H195" s="6"/>
      <c r="I195" s="6"/>
      <c r="J195" s="5"/>
      <c r="K195" s="5"/>
      <c r="L195" s="6"/>
      <c r="M195" s="5"/>
      <c r="N195" s="4" t="str">
        <f aca="true">IF(L195="","",IF(L195&lt;TODAY(),"Expired","Active"))</f>
        <v/>
      </c>
    </row>
    <row r="196" customFormat="false" ht="15" hidden="false" customHeight="false" outlineLevel="0" collapsed="false">
      <c r="A196" s="4"/>
      <c r="B196" s="5"/>
      <c r="C196" s="5"/>
      <c r="D196" s="5"/>
      <c r="E196" s="5"/>
      <c r="F196" s="5"/>
      <c r="G196" s="5"/>
      <c r="H196" s="6"/>
      <c r="I196" s="6"/>
      <c r="J196" s="5"/>
      <c r="K196" s="5"/>
      <c r="L196" s="6"/>
      <c r="M196" s="5"/>
      <c r="N196" s="4" t="str">
        <f aca="true">IF(L196="","",IF(L196&lt;TODAY(),"Expired","Active"))</f>
        <v/>
      </c>
    </row>
    <row r="197" customFormat="false" ht="15" hidden="false" customHeight="false" outlineLevel="0" collapsed="false">
      <c r="A197" s="4"/>
      <c r="B197" s="5"/>
      <c r="C197" s="5"/>
      <c r="D197" s="5"/>
      <c r="E197" s="5"/>
      <c r="F197" s="5"/>
      <c r="G197" s="5"/>
      <c r="H197" s="6"/>
      <c r="I197" s="6"/>
      <c r="J197" s="5"/>
      <c r="K197" s="5"/>
      <c r="L197" s="6"/>
      <c r="M197" s="5"/>
      <c r="N197" s="4" t="str">
        <f aca="true">IF(L197="","",IF(L197&lt;TODAY(),"Expired","Active"))</f>
        <v/>
      </c>
    </row>
    <row r="198" customFormat="false" ht="15" hidden="false" customHeight="false" outlineLevel="0" collapsed="false">
      <c r="A198" s="4"/>
      <c r="B198" s="5"/>
      <c r="C198" s="5"/>
      <c r="D198" s="5"/>
      <c r="E198" s="5"/>
      <c r="F198" s="5"/>
      <c r="G198" s="5"/>
      <c r="H198" s="6"/>
      <c r="I198" s="6"/>
      <c r="J198" s="5"/>
      <c r="K198" s="5"/>
      <c r="L198" s="6"/>
      <c r="M198" s="5"/>
      <c r="N198" s="4" t="str">
        <f aca="true">IF(L198="","",IF(L198&lt;TODAY(),"Expired","Active"))</f>
        <v/>
      </c>
    </row>
    <row r="199" customFormat="false" ht="15" hidden="false" customHeight="false" outlineLevel="0" collapsed="false">
      <c r="A199" s="4"/>
      <c r="B199" s="5"/>
      <c r="C199" s="5"/>
      <c r="D199" s="5"/>
      <c r="E199" s="5"/>
      <c r="F199" s="5"/>
      <c r="G199" s="5"/>
      <c r="H199" s="6"/>
      <c r="I199" s="6"/>
      <c r="J199" s="5"/>
      <c r="K199" s="5"/>
      <c r="L199" s="6"/>
      <c r="M199" s="5"/>
      <c r="N199" s="4" t="str">
        <f aca="true">IF(L199="","",IF(L199&lt;TODAY(),"Expired","Active"))</f>
        <v/>
      </c>
    </row>
    <row r="200" customFormat="false" ht="15" hidden="false" customHeight="false" outlineLevel="0" collapsed="false">
      <c r="A200" s="4"/>
      <c r="B200" s="5"/>
      <c r="C200" s="5"/>
      <c r="D200" s="5"/>
      <c r="E200" s="5"/>
      <c r="F200" s="5"/>
      <c r="G200" s="5"/>
      <c r="H200" s="6"/>
      <c r="I200" s="6"/>
      <c r="J200" s="5"/>
      <c r="K200" s="5"/>
      <c r="L200" s="6"/>
      <c r="M200" s="5"/>
      <c r="N200" s="4" t="str">
        <f aca="true">IF(L200="","",IF(L200&lt;TODAY(),"Expired","Active"))</f>
        <v/>
      </c>
    </row>
    <row r="201" customFormat="false" ht="15" hidden="false" customHeight="false" outlineLevel="0" collapsed="false">
      <c r="A201" s="4"/>
      <c r="B201" s="5"/>
      <c r="C201" s="5"/>
      <c r="D201" s="5"/>
      <c r="E201" s="5"/>
      <c r="F201" s="5"/>
      <c r="G201" s="5"/>
      <c r="H201" s="6"/>
      <c r="I201" s="6"/>
      <c r="J201" s="5"/>
      <c r="K201" s="5"/>
      <c r="L201" s="6"/>
      <c r="M201" s="5"/>
      <c r="N201" s="4" t="str">
        <f aca="true">IF(L201="","",IF(L201&lt;TODAY(),"Expired","Active"))</f>
        <v/>
      </c>
    </row>
    <row r="202" customFormat="false" ht="15" hidden="false" customHeight="false" outlineLevel="0" collapsed="false">
      <c r="A202" s="4"/>
      <c r="B202" s="5"/>
      <c r="C202" s="5"/>
      <c r="D202" s="5"/>
      <c r="E202" s="5"/>
      <c r="F202" s="5"/>
      <c r="G202" s="5"/>
      <c r="H202" s="6"/>
      <c r="I202" s="6"/>
      <c r="J202" s="5"/>
      <c r="K202" s="5"/>
      <c r="L202" s="6"/>
      <c r="M202" s="5"/>
      <c r="N202" s="4" t="str">
        <f aca="true">IF(L202="","",IF(L202&lt;TODAY(),"Expired","Active"))</f>
        <v/>
      </c>
    </row>
    <row r="203" customFormat="false" ht="15" hidden="false" customHeight="false" outlineLevel="0" collapsed="false">
      <c r="A203" s="4"/>
      <c r="B203" s="5"/>
      <c r="C203" s="5"/>
      <c r="D203" s="5"/>
      <c r="E203" s="5"/>
      <c r="F203" s="5"/>
      <c r="G203" s="5"/>
      <c r="H203" s="6"/>
      <c r="I203" s="6"/>
      <c r="J203" s="5"/>
      <c r="K203" s="5"/>
      <c r="L203" s="6"/>
      <c r="M203" s="5"/>
      <c r="N203" s="4" t="str">
        <f aca="true">IF(L203="","",IF(L203&lt;TODAY(),"Expired","Active"))</f>
        <v/>
      </c>
    </row>
    <row r="204" customFormat="false" ht="15" hidden="false" customHeight="false" outlineLevel="0" collapsed="false">
      <c r="A204" s="4"/>
      <c r="B204" s="5"/>
      <c r="C204" s="5"/>
      <c r="D204" s="5"/>
      <c r="E204" s="5"/>
      <c r="F204" s="5"/>
      <c r="G204" s="5"/>
      <c r="H204" s="6"/>
      <c r="I204" s="6"/>
      <c r="J204" s="5"/>
      <c r="K204" s="5"/>
      <c r="L204" s="6"/>
      <c r="M204" s="5"/>
      <c r="N204" s="4" t="str">
        <f aca="true">IF(L204="","",IF(L204&lt;TODAY(),"Expired","Active"))</f>
        <v/>
      </c>
    </row>
    <row r="205" customFormat="false" ht="15" hidden="false" customHeight="false" outlineLevel="0" collapsed="false">
      <c r="A205" s="4"/>
      <c r="B205" s="5"/>
      <c r="C205" s="5"/>
      <c r="D205" s="5"/>
      <c r="E205" s="5"/>
      <c r="F205" s="5"/>
      <c r="G205" s="5"/>
      <c r="H205" s="6"/>
      <c r="I205" s="6"/>
      <c r="J205" s="5"/>
      <c r="K205" s="5"/>
      <c r="L205" s="6"/>
      <c r="M205" s="5"/>
      <c r="N205" s="4" t="str">
        <f aca="true">IF(L205="","",IF(L205&lt;TODAY(),"Expired","Active"))</f>
        <v/>
      </c>
    </row>
    <row r="206" customFormat="false" ht="15" hidden="false" customHeight="false" outlineLevel="0" collapsed="false">
      <c r="A206" s="4"/>
      <c r="B206" s="5"/>
      <c r="C206" s="5"/>
      <c r="D206" s="5"/>
      <c r="E206" s="5"/>
      <c r="F206" s="5"/>
      <c r="G206" s="5"/>
      <c r="H206" s="6"/>
      <c r="I206" s="6"/>
      <c r="J206" s="5"/>
      <c r="K206" s="5"/>
      <c r="L206" s="6"/>
      <c r="M206" s="5"/>
      <c r="N206" s="4" t="str">
        <f aca="true">IF(L206="","",IF(L206&lt;TODAY(),"Expired","Active"))</f>
        <v/>
      </c>
    </row>
    <row r="207" customFormat="false" ht="15" hidden="false" customHeight="false" outlineLevel="0" collapsed="false">
      <c r="A207" s="4"/>
      <c r="B207" s="5"/>
      <c r="C207" s="5"/>
      <c r="D207" s="5"/>
      <c r="E207" s="5"/>
      <c r="F207" s="5"/>
      <c r="G207" s="5"/>
      <c r="H207" s="6"/>
      <c r="I207" s="6"/>
      <c r="J207" s="5"/>
      <c r="K207" s="5"/>
      <c r="L207" s="6"/>
      <c r="M207" s="5"/>
      <c r="N207" s="4" t="str">
        <f aca="true">IF(L207="","",IF(L207&lt;TODAY(),"Expired","Active"))</f>
        <v/>
      </c>
    </row>
    <row r="208" customFormat="false" ht="15" hidden="false" customHeight="false" outlineLevel="0" collapsed="false">
      <c r="A208" s="4"/>
      <c r="B208" s="5"/>
      <c r="C208" s="5"/>
      <c r="D208" s="5"/>
      <c r="E208" s="5"/>
      <c r="F208" s="5"/>
      <c r="G208" s="5"/>
      <c r="H208" s="6"/>
      <c r="I208" s="6"/>
      <c r="J208" s="5"/>
      <c r="K208" s="5"/>
      <c r="L208" s="6"/>
      <c r="M208" s="5"/>
      <c r="N208" s="4" t="str">
        <f aca="true">IF(L208="","",IF(L208&lt;TODAY(),"Expired","Active"))</f>
        <v/>
      </c>
    </row>
    <row r="209" customFormat="false" ht="15" hidden="false" customHeight="false" outlineLevel="0" collapsed="false">
      <c r="A209" s="4"/>
      <c r="B209" s="5"/>
      <c r="C209" s="5"/>
      <c r="D209" s="5"/>
      <c r="E209" s="5"/>
      <c r="F209" s="5"/>
      <c r="G209" s="5"/>
      <c r="H209" s="6"/>
      <c r="I209" s="6"/>
      <c r="J209" s="5"/>
      <c r="K209" s="5"/>
      <c r="L209" s="6"/>
      <c r="M209" s="5"/>
      <c r="N209" s="4" t="str">
        <f aca="true">IF(L209="","",IF(L209&lt;TODAY(),"Expired","Active"))</f>
        <v/>
      </c>
    </row>
    <row r="210" customFormat="false" ht="15" hidden="false" customHeight="false" outlineLevel="0" collapsed="false">
      <c r="A210" s="4"/>
      <c r="B210" s="5"/>
      <c r="C210" s="5"/>
      <c r="D210" s="5"/>
      <c r="E210" s="5"/>
      <c r="F210" s="5"/>
      <c r="G210" s="5"/>
      <c r="H210" s="6"/>
      <c r="I210" s="6"/>
      <c r="J210" s="5"/>
      <c r="K210" s="5"/>
      <c r="L210" s="6"/>
      <c r="M210" s="5"/>
      <c r="N210" s="4" t="str">
        <f aca="true">IF(L210="","",IF(L210&lt;TODAY(),"Expired","Active"))</f>
        <v/>
      </c>
    </row>
    <row r="211" customFormat="false" ht="15" hidden="false" customHeight="false" outlineLevel="0" collapsed="false">
      <c r="A211" s="4"/>
      <c r="B211" s="5"/>
      <c r="C211" s="5"/>
      <c r="D211" s="5"/>
      <c r="E211" s="5"/>
      <c r="F211" s="5"/>
      <c r="G211" s="5"/>
      <c r="H211" s="6"/>
      <c r="I211" s="6"/>
      <c r="J211" s="5"/>
      <c r="K211" s="5"/>
      <c r="L211" s="6"/>
      <c r="M211" s="5"/>
      <c r="N211" s="4" t="str">
        <f aca="true">IF(L211="","",IF(L211&lt;TODAY(),"Expired","Active"))</f>
        <v/>
      </c>
    </row>
    <row r="212" customFormat="false" ht="15" hidden="false" customHeight="false" outlineLevel="0" collapsed="false">
      <c r="A212" s="4"/>
      <c r="B212" s="5"/>
      <c r="C212" s="5"/>
      <c r="D212" s="5"/>
      <c r="E212" s="5"/>
      <c r="F212" s="5"/>
      <c r="G212" s="5"/>
      <c r="H212" s="6"/>
      <c r="I212" s="6"/>
      <c r="J212" s="5"/>
      <c r="K212" s="5"/>
      <c r="L212" s="6"/>
      <c r="M212" s="5"/>
      <c r="N212" s="4" t="str">
        <f aca="true">IF(L212="","",IF(L212&lt;TODAY(),"Expired","Active"))</f>
        <v/>
      </c>
    </row>
    <row r="213" customFormat="false" ht="15" hidden="false" customHeight="false" outlineLevel="0" collapsed="false">
      <c r="A213" s="4"/>
      <c r="B213" s="5"/>
      <c r="C213" s="5"/>
      <c r="D213" s="5"/>
      <c r="E213" s="5"/>
      <c r="F213" s="5"/>
      <c r="G213" s="5"/>
      <c r="H213" s="6"/>
      <c r="I213" s="6"/>
      <c r="J213" s="5"/>
      <c r="K213" s="5"/>
      <c r="L213" s="6"/>
      <c r="M213" s="5"/>
      <c r="N213" s="4" t="str">
        <f aca="true">IF(L213="","",IF(L213&lt;TODAY(),"Expired","Active"))</f>
        <v/>
      </c>
    </row>
    <row r="214" customFormat="false" ht="15" hidden="false" customHeight="false" outlineLevel="0" collapsed="false">
      <c r="A214" s="4"/>
      <c r="B214" s="5"/>
      <c r="C214" s="5"/>
      <c r="D214" s="5"/>
      <c r="E214" s="5"/>
      <c r="F214" s="5"/>
      <c r="G214" s="5"/>
      <c r="H214" s="6"/>
      <c r="I214" s="6"/>
      <c r="J214" s="5"/>
      <c r="K214" s="5"/>
      <c r="L214" s="6"/>
      <c r="M214" s="5"/>
      <c r="N214" s="4" t="str">
        <f aca="true">IF(L214="","",IF(L214&lt;TODAY(),"Expired","Active"))</f>
        <v/>
      </c>
    </row>
    <row r="215" customFormat="false" ht="15" hidden="false" customHeight="false" outlineLevel="0" collapsed="false">
      <c r="A215" s="4"/>
      <c r="B215" s="5"/>
      <c r="C215" s="5"/>
      <c r="D215" s="5"/>
      <c r="E215" s="5"/>
      <c r="F215" s="5"/>
      <c r="G215" s="5"/>
      <c r="H215" s="6"/>
      <c r="I215" s="6"/>
      <c r="J215" s="5"/>
      <c r="K215" s="5"/>
      <c r="L215" s="6"/>
      <c r="M215" s="5"/>
      <c r="N215" s="4" t="str">
        <f aca="true">IF(L215="","",IF(L215&lt;TODAY(),"Expired","Active"))</f>
        <v/>
      </c>
    </row>
    <row r="216" customFormat="false" ht="15" hidden="false" customHeight="false" outlineLevel="0" collapsed="false">
      <c r="A216" s="4"/>
      <c r="B216" s="5"/>
      <c r="C216" s="5"/>
      <c r="D216" s="5"/>
      <c r="E216" s="5"/>
      <c r="F216" s="5"/>
      <c r="G216" s="5"/>
      <c r="H216" s="6"/>
      <c r="I216" s="6"/>
      <c r="J216" s="5"/>
      <c r="K216" s="5"/>
      <c r="L216" s="6"/>
      <c r="M216" s="5"/>
      <c r="N216" s="4" t="str">
        <f aca="true">IF(L216="","",IF(L216&lt;TODAY(),"Expired","Active"))</f>
        <v/>
      </c>
    </row>
    <row r="217" customFormat="false" ht="15" hidden="false" customHeight="false" outlineLevel="0" collapsed="false">
      <c r="A217" s="4"/>
      <c r="B217" s="5"/>
      <c r="C217" s="5"/>
      <c r="D217" s="5"/>
      <c r="E217" s="5"/>
      <c r="F217" s="5"/>
      <c r="G217" s="5"/>
      <c r="H217" s="6"/>
      <c r="I217" s="6"/>
      <c r="J217" s="5"/>
      <c r="K217" s="5"/>
      <c r="L217" s="6"/>
      <c r="M217" s="5"/>
      <c r="N217" s="4" t="str">
        <f aca="true">IF(L217="","",IF(L217&lt;TODAY(),"Expired","Active"))</f>
        <v/>
      </c>
    </row>
    <row r="218" customFormat="false" ht="15" hidden="false" customHeight="false" outlineLevel="0" collapsed="false">
      <c r="A218" s="4"/>
      <c r="B218" s="5"/>
      <c r="C218" s="5"/>
      <c r="D218" s="5"/>
      <c r="E218" s="5"/>
      <c r="F218" s="5"/>
      <c r="G218" s="5"/>
      <c r="H218" s="6"/>
      <c r="I218" s="6"/>
      <c r="J218" s="5"/>
      <c r="K218" s="5"/>
      <c r="L218" s="6"/>
      <c r="M218" s="5"/>
      <c r="N218" s="4" t="str">
        <f aca="true">IF(L218="","",IF(L218&lt;TODAY(),"Expired","Active"))</f>
        <v/>
      </c>
    </row>
    <row r="219" customFormat="false" ht="15" hidden="false" customHeight="false" outlineLevel="0" collapsed="false">
      <c r="A219" s="4"/>
      <c r="B219" s="5"/>
      <c r="C219" s="5"/>
      <c r="D219" s="5"/>
      <c r="E219" s="5"/>
      <c r="F219" s="5"/>
      <c r="G219" s="5"/>
      <c r="H219" s="6"/>
      <c r="I219" s="6"/>
      <c r="J219" s="5"/>
      <c r="K219" s="5"/>
      <c r="L219" s="6"/>
      <c r="M219" s="5"/>
      <c r="N219" s="4" t="str">
        <f aca="true">IF(L219="","",IF(L219&lt;TODAY(),"Expired","Active"))</f>
        <v/>
      </c>
    </row>
    <row r="220" customFormat="false" ht="15" hidden="false" customHeight="false" outlineLevel="0" collapsed="false">
      <c r="A220" s="4"/>
      <c r="B220" s="5"/>
      <c r="C220" s="5"/>
      <c r="D220" s="5"/>
      <c r="E220" s="5"/>
      <c r="F220" s="5"/>
      <c r="G220" s="5"/>
      <c r="H220" s="6"/>
      <c r="I220" s="6"/>
      <c r="J220" s="5"/>
      <c r="K220" s="5"/>
      <c r="L220" s="6"/>
      <c r="M220" s="5"/>
      <c r="N220" s="4" t="str">
        <f aca="true">IF(L220="","",IF(L220&lt;TODAY(),"Expired","Active"))</f>
        <v/>
      </c>
    </row>
    <row r="221" customFormat="false" ht="15" hidden="false" customHeight="false" outlineLevel="0" collapsed="false">
      <c r="A221" s="4"/>
      <c r="B221" s="5"/>
      <c r="C221" s="5"/>
      <c r="D221" s="5"/>
      <c r="E221" s="5"/>
      <c r="F221" s="5"/>
      <c r="G221" s="5"/>
      <c r="H221" s="6"/>
      <c r="I221" s="6"/>
      <c r="J221" s="5"/>
      <c r="K221" s="5"/>
      <c r="L221" s="6"/>
      <c r="M221" s="5"/>
      <c r="N221" s="4" t="str">
        <f aca="true">IF(L221="","",IF(L221&lt;TODAY(),"Expired","Active"))</f>
        <v/>
      </c>
    </row>
    <row r="222" customFormat="false" ht="15" hidden="false" customHeight="false" outlineLevel="0" collapsed="false">
      <c r="A222" s="4"/>
      <c r="B222" s="5"/>
      <c r="C222" s="5"/>
      <c r="D222" s="5"/>
      <c r="E222" s="5"/>
      <c r="F222" s="5"/>
      <c r="G222" s="5"/>
      <c r="H222" s="6"/>
      <c r="I222" s="6"/>
      <c r="J222" s="5"/>
      <c r="K222" s="5"/>
      <c r="L222" s="6"/>
      <c r="M222" s="5"/>
      <c r="N222" s="4" t="str">
        <f aca="true">IF(L222="","",IF(L222&lt;TODAY(),"Expired","Active"))</f>
        <v/>
      </c>
    </row>
    <row r="223" customFormat="false" ht="15" hidden="false" customHeight="false" outlineLevel="0" collapsed="false">
      <c r="A223" s="4"/>
      <c r="B223" s="5"/>
      <c r="C223" s="5"/>
      <c r="D223" s="5"/>
      <c r="E223" s="5"/>
      <c r="F223" s="5"/>
      <c r="G223" s="5"/>
      <c r="H223" s="6"/>
      <c r="I223" s="6"/>
      <c r="J223" s="5"/>
      <c r="K223" s="5"/>
      <c r="L223" s="6"/>
      <c r="M223" s="5"/>
      <c r="N223" s="4" t="str">
        <f aca="true">IF(L223="","",IF(L223&lt;TODAY(),"Expired","Active"))</f>
        <v/>
      </c>
    </row>
    <row r="224" customFormat="false" ht="15" hidden="false" customHeight="false" outlineLevel="0" collapsed="false">
      <c r="A224" s="4"/>
      <c r="B224" s="5"/>
      <c r="C224" s="5"/>
      <c r="D224" s="5"/>
      <c r="E224" s="5"/>
      <c r="F224" s="5"/>
      <c r="G224" s="5"/>
      <c r="H224" s="6"/>
      <c r="I224" s="6"/>
      <c r="J224" s="5"/>
      <c r="K224" s="5"/>
      <c r="L224" s="6"/>
      <c r="M224" s="5"/>
      <c r="N224" s="4" t="str">
        <f aca="true">IF(L224="","",IF(L224&lt;TODAY(),"Expired","Active"))</f>
        <v/>
      </c>
    </row>
    <row r="225" customFormat="false" ht="15" hidden="false" customHeight="false" outlineLevel="0" collapsed="false">
      <c r="A225" s="4"/>
      <c r="B225" s="5"/>
      <c r="C225" s="5"/>
      <c r="D225" s="5"/>
      <c r="E225" s="5"/>
      <c r="F225" s="5"/>
      <c r="G225" s="5"/>
      <c r="H225" s="6"/>
      <c r="I225" s="6"/>
      <c r="J225" s="5"/>
      <c r="K225" s="5"/>
      <c r="L225" s="6"/>
      <c r="M225" s="5"/>
      <c r="N225" s="4" t="str">
        <f aca="true">IF(L225="","",IF(L225&lt;TODAY(),"Expired","Active"))</f>
        <v/>
      </c>
    </row>
    <row r="226" customFormat="false" ht="15" hidden="false" customHeight="false" outlineLevel="0" collapsed="false">
      <c r="A226" s="4"/>
      <c r="B226" s="5"/>
      <c r="C226" s="5"/>
      <c r="D226" s="5"/>
      <c r="E226" s="5"/>
      <c r="F226" s="5"/>
      <c r="G226" s="5"/>
      <c r="H226" s="6"/>
      <c r="I226" s="6"/>
      <c r="J226" s="5"/>
      <c r="K226" s="5"/>
      <c r="L226" s="6"/>
      <c r="M226" s="5"/>
      <c r="N226" s="4" t="str">
        <f aca="true">IF(L226="","",IF(L226&lt;TODAY(),"Expired","Active"))</f>
        <v/>
      </c>
    </row>
    <row r="227" customFormat="false" ht="15" hidden="false" customHeight="false" outlineLevel="0" collapsed="false">
      <c r="A227" s="4"/>
      <c r="B227" s="5"/>
      <c r="C227" s="5"/>
      <c r="D227" s="5"/>
      <c r="E227" s="5"/>
      <c r="F227" s="5"/>
      <c r="G227" s="5"/>
      <c r="H227" s="6"/>
      <c r="I227" s="6"/>
      <c r="J227" s="5"/>
      <c r="K227" s="5"/>
      <c r="L227" s="6"/>
      <c r="M227" s="5"/>
      <c r="N227" s="4" t="str">
        <f aca="true">IF(L227="","",IF(L227&lt;TODAY(),"Expired","Active"))</f>
        <v/>
      </c>
    </row>
    <row r="228" customFormat="false" ht="15" hidden="false" customHeight="false" outlineLevel="0" collapsed="false">
      <c r="A228" s="4"/>
      <c r="B228" s="5"/>
      <c r="C228" s="5"/>
      <c r="D228" s="5"/>
      <c r="E228" s="5"/>
      <c r="F228" s="5"/>
      <c r="G228" s="5"/>
      <c r="H228" s="6"/>
      <c r="I228" s="6"/>
      <c r="J228" s="5"/>
      <c r="K228" s="5"/>
      <c r="L228" s="6"/>
      <c r="M228" s="5"/>
      <c r="N228" s="4" t="str">
        <f aca="true">IF(L228="","",IF(L228&lt;TODAY(),"Expired","Active"))</f>
        <v/>
      </c>
    </row>
    <row r="229" customFormat="false" ht="15" hidden="false" customHeight="false" outlineLevel="0" collapsed="false">
      <c r="A229" s="4"/>
      <c r="B229" s="5"/>
      <c r="C229" s="5"/>
      <c r="D229" s="5"/>
      <c r="E229" s="5"/>
      <c r="F229" s="5"/>
      <c r="G229" s="5"/>
      <c r="H229" s="6"/>
      <c r="I229" s="6"/>
      <c r="J229" s="5"/>
      <c r="K229" s="5"/>
      <c r="L229" s="6"/>
      <c r="M229" s="5"/>
      <c r="N229" s="4" t="str">
        <f aca="true">IF(L229="","",IF(L229&lt;TODAY(),"Expired","Active"))</f>
        <v/>
      </c>
    </row>
    <row r="230" customFormat="false" ht="15" hidden="false" customHeight="false" outlineLevel="0" collapsed="false">
      <c r="A230" s="4"/>
      <c r="B230" s="5"/>
      <c r="C230" s="5"/>
      <c r="D230" s="5"/>
      <c r="E230" s="5"/>
      <c r="F230" s="5"/>
      <c r="G230" s="5"/>
      <c r="H230" s="6"/>
      <c r="I230" s="6"/>
      <c r="J230" s="5"/>
      <c r="K230" s="5"/>
      <c r="L230" s="6"/>
      <c r="M230" s="5"/>
      <c r="N230" s="4" t="str">
        <f aca="true">IF(L230="","",IF(L230&lt;TODAY(),"Expired","Active"))</f>
        <v/>
      </c>
    </row>
    <row r="231" customFormat="false" ht="15" hidden="false" customHeight="false" outlineLevel="0" collapsed="false">
      <c r="A231" s="4"/>
      <c r="B231" s="5"/>
      <c r="C231" s="5"/>
      <c r="D231" s="5"/>
      <c r="E231" s="5"/>
      <c r="F231" s="5"/>
      <c r="G231" s="5"/>
      <c r="H231" s="6"/>
      <c r="I231" s="6"/>
      <c r="J231" s="5"/>
      <c r="K231" s="5"/>
      <c r="L231" s="6"/>
      <c r="M231" s="5"/>
      <c r="N231" s="4" t="str">
        <f aca="true">IF(L231="","",IF(L231&lt;TODAY(),"Expired","Active"))</f>
        <v/>
      </c>
    </row>
    <row r="232" customFormat="false" ht="15" hidden="false" customHeight="false" outlineLevel="0" collapsed="false">
      <c r="A232" s="4"/>
      <c r="B232" s="5"/>
      <c r="C232" s="5"/>
      <c r="D232" s="5"/>
      <c r="E232" s="5"/>
      <c r="F232" s="5"/>
      <c r="G232" s="5"/>
      <c r="H232" s="6"/>
      <c r="I232" s="6"/>
      <c r="J232" s="5"/>
      <c r="K232" s="5"/>
      <c r="L232" s="6"/>
      <c r="M232" s="5"/>
      <c r="N232" s="4" t="str">
        <f aca="true">IF(L232="","",IF(L232&lt;TODAY(),"Expired","Active"))</f>
        <v/>
      </c>
    </row>
    <row r="233" customFormat="false" ht="15" hidden="false" customHeight="false" outlineLevel="0" collapsed="false">
      <c r="A233" s="4"/>
      <c r="B233" s="5"/>
      <c r="C233" s="5"/>
      <c r="D233" s="5"/>
      <c r="E233" s="5"/>
      <c r="F233" s="5"/>
      <c r="G233" s="5"/>
      <c r="H233" s="6"/>
      <c r="I233" s="6"/>
      <c r="J233" s="5"/>
      <c r="K233" s="5"/>
      <c r="L233" s="6"/>
      <c r="M233" s="5"/>
      <c r="N233" s="4" t="str">
        <f aca="true">IF(L233="","",IF(L233&lt;TODAY(),"Expired","Active"))</f>
        <v/>
      </c>
    </row>
    <row r="234" customFormat="false" ht="15" hidden="false" customHeight="false" outlineLevel="0" collapsed="false">
      <c r="A234" s="4"/>
      <c r="B234" s="5"/>
      <c r="C234" s="5"/>
      <c r="D234" s="5"/>
      <c r="E234" s="5"/>
      <c r="F234" s="5"/>
      <c r="G234" s="5"/>
      <c r="H234" s="6"/>
      <c r="I234" s="6"/>
      <c r="J234" s="5"/>
      <c r="K234" s="5"/>
      <c r="L234" s="6"/>
      <c r="M234" s="5"/>
      <c r="N234" s="4" t="str">
        <f aca="true">IF(L234="","",IF(L234&lt;TODAY(),"Expired","Active"))</f>
        <v/>
      </c>
    </row>
    <row r="235" customFormat="false" ht="15" hidden="false" customHeight="false" outlineLevel="0" collapsed="false">
      <c r="A235" s="4"/>
      <c r="B235" s="5"/>
      <c r="C235" s="5"/>
      <c r="D235" s="5"/>
      <c r="E235" s="5"/>
      <c r="F235" s="5"/>
      <c r="G235" s="5"/>
      <c r="H235" s="6"/>
      <c r="I235" s="6"/>
      <c r="J235" s="5"/>
      <c r="K235" s="5"/>
      <c r="L235" s="6"/>
      <c r="M235" s="5"/>
      <c r="N235" s="4" t="str">
        <f aca="true">IF(L235="","",IF(L235&lt;TODAY(),"Expired","Active"))</f>
        <v/>
      </c>
    </row>
    <row r="236" customFormat="false" ht="15" hidden="false" customHeight="false" outlineLevel="0" collapsed="false">
      <c r="A236" s="4"/>
      <c r="B236" s="5"/>
      <c r="C236" s="5"/>
      <c r="D236" s="5"/>
      <c r="E236" s="5"/>
      <c r="F236" s="5"/>
      <c r="G236" s="5"/>
      <c r="H236" s="6"/>
      <c r="I236" s="6"/>
      <c r="J236" s="5"/>
      <c r="K236" s="5"/>
      <c r="L236" s="6"/>
      <c r="M236" s="5"/>
      <c r="N236" s="4" t="str">
        <f aca="true">IF(L236="","",IF(L236&lt;TODAY(),"Expired","Active"))</f>
        <v/>
      </c>
    </row>
    <row r="237" customFormat="false" ht="15" hidden="false" customHeight="false" outlineLevel="0" collapsed="false">
      <c r="A237" s="4"/>
      <c r="B237" s="5"/>
      <c r="C237" s="5"/>
      <c r="D237" s="5"/>
      <c r="E237" s="5"/>
      <c r="F237" s="5"/>
      <c r="G237" s="5"/>
      <c r="H237" s="6"/>
      <c r="I237" s="6"/>
      <c r="J237" s="5"/>
      <c r="K237" s="5"/>
      <c r="L237" s="6"/>
      <c r="M237" s="5"/>
      <c r="N237" s="4" t="str">
        <f aca="true">IF(L237="","",IF(L237&lt;TODAY(),"Expired","Active"))</f>
        <v/>
      </c>
    </row>
    <row r="238" customFormat="false" ht="15" hidden="false" customHeight="false" outlineLevel="0" collapsed="false">
      <c r="A238" s="4"/>
      <c r="B238" s="5"/>
      <c r="C238" s="5"/>
      <c r="D238" s="5"/>
      <c r="E238" s="5"/>
      <c r="F238" s="5"/>
      <c r="G238" s="5"/>
      <c r="H238" s="6"/>
      <c r="I238" s="6"/>
      <c r="J238" s="5"/>
      <c r="K238" s="5"/>
      <c r="L238" s="6"/>
      <c r="M238" s="5"/>
      <c r="N238" s="4" t="str">
        <f aca="true">IF(L238="","",IF(L238&lt;TODAY(),"Expired","Active"))</f>
        <v/>
      </c>
    </row>
    <row r="239" customFormat="false" ht="15" hidden="false" customHeight="false" outlineLevel="0" collapsed="false">
      <c r="A239" s="4"/>
      <c r="B239" s="5"/>
      <c r="C239" s="5"/>
      <c r="D239" s="5"/>
      <c r="E239" s="5"/>
      <c r="F239" s="5"/>
      <c r="G239" s="5"/>
      <c r="H239" s="6"/>
      <c r="I239" s="6"/>
      <c r="J239" s="5"/>
      <c r="K239" s="5"/>
      <c r="L239" s="6"/>
      <c r="M239" s="5"/>
      <c r="N239" s="4" t="str">
        <f aca="true">IF(L239="","",IF(L239&lt;TODAY(),"Expired","Active"))</f>
        <v/>
      </c>
    </row>
    <row r="240" customFormat="false" ht="15" hidden="false" customHeight="false" outlineLevel="0" collapsed="false">
      <c r="A240" s="4"/>
      <c r="B240" s="5"/>
      <c r="C240" s="5"/>
      <c r="D240" s="5"/>
      <c r="E240" s="5"/>
      <c r="F240" s="5"/>
      <c r="G240" s="5"/>
      <c r="H240" s="6"/>
      <c r="I240" s="6"/>
      <c r="J240" s="5"/>
      <c r="K240" s="5"/>
      <c r="L240" s="6"/>
      <c r="M240" s="5"/>
      <c r="N240" s="4" t="str">
        <f aca="true">IF(L240="","",IF(L240&lt;TODAY(),"Expired","Active"))</f>
        <v/>
      </c>
    </row>
    <row r="241" customFormat="false" ht="15" hidden="false" customHeight="false" outlineLevel="0" collapsed="false">
      <c r="A241" s="4"/>
      <c r="B241" s="5"/>
      <c r="C241" s="5"/>
      <c r="D241" s="5"/>
      <c r="E241" s="5"/>
      <c r="F241" s="5"/>
      <c r="G241" s="5"/>
      <c r="H241" s="6"/>
      <c r="I241" s="6"/>
      <c r="J241" s="5"/>
      <c r="K241" s="5"/>
      <c r="L241" s="6"/>
      <c r="M241" s="5"/>
      <c r="N241" s="4" t="str">
        <f aca="true">IF(L241="","",IF(L241&lt;TODAY(),"Expired","Active"))</f>
        <v/>
      </c>
    </row>
    <row r="242" customFormat="false" ht="15" hidden="false" customHeight="false" outlineLevel="0" collapsed="false">
      <c r="A242" s="4"/>
      <c r="B242" s="5"/>
      <c r="C242" s="5"/>
      <c r="D242" s="5"/>
      <c r="E242" s="5"/>
      <c r="F242" s="5"/>
      <c r="G242" s="5"/>
      <c r="H242" s="6"/>
      <c r="I242" s="6"/>
      <c r="J242" s="5"/>
      <c r="K242" s="5"/>
      <c r="L242" s="6"/>
      <c r="M242" s="5"/>
      <c r="N242" s="4" t="str">
        <f aca="true">IF(L242="","",IF(L242&lt;TODAY(),"Expired","Active"))</f>
        <v/>
      </c>
    </row>
    <row r="243" customFormat="false" ht="15" hidden="false" customHeight="false" outlineLevel="0" collapsed="false">
      <c r="A243" s="4"/>
      <c r="B243" s="5"/>
      <c r="C243" s="5"/>
      <c r="D243" s="5"/>
      <c r="E243" s="5"/>
      <c r="F243" s="5"/>
      <c r="G243" s="5"/>
      <c r="H243" s="6"/>
      <c r="I243" s="6"/>
      <c r="J243" s="5"/>
      <c r="K243" s="5"/>
      <c r="L243" s="6"/>
      <c r="M243" s="5"/>
      <c r="N243" s="4" t="str">
        <f aca="true">IF(L243="","",IF(L243&lt;TODAY(),"Expired","Active"))</f>
        <v/>
      </c>
    </row>
    <row r="244" customFormat="false" ht="15" hidden="false" customHeight="false" outlineLevel="0" collapsed="false">
      <c r="A244" s="4"/>
      <c r="B244" s="5"/>
      <c r="C244" s="5"/>
      <c r="D244" s="5"/>
      <c r="E244" s="5"/>
      <c r="F244" s="5"/>
      <c r="G244" s="5"/>
      <c r="H244" s="6"/>
      <c r="I244" s="6"/>
      <c r="J244" s="5"/>
      <c r="K244" s="5"/>
      <c r="L244" s="6"/>
      <c r="M244" s="5"/>
      <c r="N244" s="4" t="str">
        <f aca="true">IF(L244="","",IF(L244&lt;TODAY(),"Expired","Active"))</f>
        <v/>
      </c>
    </row>
    <row r="245" customFormat="false" ht="15" hidden="false" customHeight="false" outlineLevel="0" collapsed="false">
      <c r="A245" s="4"/>
      <c r="B245" s="5"/>
      <c r="C245" s="5"/>
      <c r="D245" s="5"/>
      <c r="E245" s="5"/>
      <c r="F245" s="5"/>
      <c r="G245" s="5"/>
      <c r="H245" s="6"/>
      <c r="I245" s="6"/>
      <c r="J245" s="5"/>
      <c r="K245" s="5"/>
      <c r="L245" s="6"/>
      <c r="M245" s="5"/>
      <c r="N245" s="4" t="str">
        <f aca="true">IF(L245="","",IF(L245&lt;TODAY(),"Expired","Active"))</f>
        <v/>
      </c>
    </row>
    <row r="246" customFormat="false" ht="15" hidden="false" customHeight="false" outlineLevel="0" collapsed="false">
      <c r="A246" s="4"/>
      <c r="B246" s="5"/>
      <c r="C246" s="5"/>
      <c r="D246" s="5"/>
      <c r="E246" s="5"/>
      <c r="F246" s="5"/>
      <c r="G246" s="5"/>
      <c r="H246" s="6"/>
      <c r="I246" s="6"/>
      <c r="J246" s="5"/>
      <c r="K246" s="5"/>
      <c r="L246" s="6"/>
      <c r="M246" s="5"/>
      <c r="N246" s="4" t="str">
        <f aca="true">IF(L246="","",IF(L246&lt;TODAY(),"Expired","Active"))</f>
        <v/>
      </c>
    </row>
    <row r="247" customFormat="false" ht="15" hidden="false" customHeight="false" outlineLevel="0" collapsed="false">
      <c r="A247" s="4"/>
      <c r="B247" s="5"/>
      <c r="C247" s="5"/>
      <c r="D247" s="5"/>
      <c r="E247" s="5"/>
      <c r="F247" s="5"/>
      <c r="G247" s="5"/>
      <c r="H247" s="6"/>
      <c r="I247" s="6"/>
      <c r="J247" s="5"/>
      <c r="K247" s="5"/>
      <c r="L247" s="6"/>
      <c r="M247" s="5"/>
      <c r="N247" s="4" t="str">
        <f aca="true">IF(L247="","",IF(L247&lt;TODAY(),"Expired","Active"))</f>
        <v/>
      </c>
    </row>
    <row r="248" customFormat="false" ht="15" hidden="false" customHeight="false" outlineLevel="0" collapsed="false">
      <c r="A248" s="4"/>
      <c r="B248" s="5"/>
      <c r="C248" s="5"/>
      <c r="D248" s="5"/>
      <c r="E248" s="5"/>
      <c r="F248" s="5"/>
      <c r="G248" s="5"/>
      <c r="H248" s="6"/>
      <c r="I248" s="6"/>
      <c r="J248" s="5"/>
      <c r="K248" s="5"/>
      <c r="L248" s="6"/>
      <c r="M248" s="5"/>
      <c r="N248" s="4" t="str">
        <f aca="true">IF(L248="","",IF(L248&lt;TODAY(),"Expired","Active"))</f>
        <v/>
      </c>
    </row>
    <row r="249" customFormat="false" ht="15" hidden="false" customHeight="false" outlineLevel="0" collapsed="false">
      <c r="A249" s="4"/>
      <c r="B249" s="5"/>
      <c r="C249" s="5"/>
      <c r="D249" s="5"/>
      <c r="E249" s="5"/>
      <c r="F249" s="5"/>
      <c r="G249" s="5"/>
      <c r="H249" s="6"/>
      <c r="I249" s="6"/>
      <c r="J249" s="5"/>
      <c r="K249" s="5"/>
      <c r="L249" s="6"/>
      <c r="M249" s="5"/>
      <c r="N249" s="4" t="str">
        <f aca="true">IF(L249="","",IF(L249&lt;TODAY(),"Expired","Active"))</f>
        <v/>
      </c>
    </row>
    <row r="250" customFormat="false" ht="15" hidden="false" customHeight="false" outlineLevel="0" collapsed="false">
      <c r="A250" s="4"/>
      <c r="B250" s="5"/>
      <c r="C250" s="5"/>
      <c r="D250" s="5"/>
      <c r="E250" s="5"/>
      <c r="F250" s="5"/>
      <c r="G250" s="5"/>
      <c r="H250" s="6"/>
      <c r="I250" s="6"/>
      <c r="J250" s="5"/>
      <c r="K250" s="5"/>
      <c r="L250" s="6"/>
      <c r="M250" s="5"/>
      <c r="N250" s="4" t="str">
        <f aca="true">IF(L250="","",IF(L250&lt;TODAY(),"Expired","Active"))</f>
        <v/>
      </c>
    </row>
    <row r="251" customFormat="false" ht="15" hidden="false" customHeight="false" outlineLevel="0" collapsed="false">
      <c r="A251" s="4"/>
      <c r="B251" s="5"/>
      <c r="C251" s="5"/>
      <c r="D251" s="5"/>
      <c r="E251" s="5"/>
      <c r="F251" s="5"/>
      <c r="G251" s="5"/>
      <c r="H251" s="6"/>
      <c r="I251" s="6"/>
      <c r="J251" s="5"/>
      <c r="K251" s="5"/>
      <c r="L251" s="6"/>
      <c r="M251" s="5"/>
      <c r="N251" s="4" t="str">
        <f aca="true">IF(L251="","",IF(L251&lt;TODAY(),"Expired","Active"))</f>
        <v/>
      </c>
    </row>
    <row r="252" customFormat="false" ht="15" hidden="false" customHeight="false" outlineLevel="0" collapsed="false">
      <c r="A252" s="4"/>
      <c r="B252" s="5"/>
      <c r="C252" s="5"/>
      <c r="D252" s="5"/>
      <c r="E252" s="5"/>
      <c r="F252" s="5"/>
      <c r="G252" s="5"/>
      <c r="H252" s="6"/>
      <c r="I252" s="6"/>
      <c r="J252" s="5"/>
      <c r="K252" s="5"/>
      <c r="L252" s="6"/>
      <c r="M252" s="5"/>
      <c r="N252" s="4" t="str">
        <f aca="true">IF(L252="","",IF(L252&lt;TODAY(),"Expired","Active"))</f>
        <v/>
      </c>
    </row>
    <row r="253" customFormat="false" ht="15" hidden="false" customHeight="false" outlineLevel="0" collapsed="false">
      <c r="A253" s="4"/>
      <c r="B253" s="5"/>
      <c r="C253" s="5"/>
      <c r="D253" s="5"/>
      <c r="E253" s="5"/>
      <c r="F253" s="5"/>
      <c r="G253" s="5"/>
      <c r="H253" s="6"/>
      <c r="I253" s="6"/>
      <c r="J253" s="5"/>
      <c r="K253" s="5"/>
      <c r="L253" s="6"/>
      <c r="M253" s="5"/>
      <c r="N253" s="4" t="str">
        <f aca="true">IF(L253="","",IF(L253&lt;TODAY(),"Expired","Active"))</f>
        <v/>
      </c>
    </row>
    <row r="254" customFormat="false" ht="15" hidden="false" customHeight="false" outlineLevel="0" collapsed="false">
      <c r="A254" s="4"/>
      <c r="B254" s="5"/>
      <c r="C254" s="5"/>
      <c r="D254" s="5"/>
      <c r="E254" s="5"/>
      <c r="F254" s="5"/>
      <c r="G254" s="5"/>
      <c r="H254" s="6"/>
      <c r="I254" s="6"/>
      <c r="J254" s="5"/>
      <c r="K254" s="5"/>
      <c r="L254" s="6"/>
      <c r="M254" s="5"/>
      <c r="N254" s="4" t="str">
        <f aca="true">IF(L254="","",IF(L254&lt;TODAY(),"Expired","Active"))</f>
        <v/>
      </c>
    </row>
    <row r="255" customFormat="false" ht="15" hidden="false" customHeight="false" outlineLevel="0" collapsed="false">
      <c r="A255" s="4"/>
      <c r="B255" s="5"/>
      <c r="C255" s="5"/>
      <c r="D255" s="5"/>
      <c r="E255" s="5"/>
      <c r="F255" s="5"/>
      <c r="G255" s="5"/>
      <c r="H255" s="6"/>
      <c r="I255" s="6"/>
      <c r="J255" s="5"/>
      <c r="K255" s="5"/>
      <c r="L255" s="6"/>
      <c r="M255" s="5"/>
      <c r="N255" s="4" t="str">
        <f aca="true">IF(L255="","",IF(L255&lt;TODAY(),"Expired","Active"))</f>
        <v/>
      </c>
    </row>
    <row r="256" customFormat="false" ht="15" hidden="false" customHeight="false" outlineLevel="0" collapsed="false">
      <c r="A256" s="4"/>
      <c r="B256" s="5"/>
      <c r="C256" s="5"/>
      <c r="D256" s="5"/>
      <c r="E256" s="5"/>
      <c r="F256" s="5"/>
      <c r="G256" s="5"/>
      <c r="H256" s="6"/>
      <c r="I256" s="6"/>
      <c r="J256" s="5"/>
      <c r="K256" s="5"/>
      <c r="L256" s="6"/>
      <c r="M256" s="5"/>
      <c r="N256" s="4" t="str">
        <f aca="true">IF(L256="","",IF(L256&lt;TODAY(),"Expired","Active"))</f>
        <v/>
      </c>
    </row>
    <row r="257" customFormat="false" ht="15" hidden="false" customHeight="false" outlineLevel="0" collapsed="false">
      <c r="A257" s="4"/>
      <c r="B257" s="5"/>
      <c r="C257" s="5"/>
      <c r="D257" s="5"/>
      <c r="E257" s="5"/>
      <c r="F257" s="5"/>
      <c r="G257" s="5"/>
      <c r="H257" s="6"/>
      <c r="I257" s="6"/>
      <c r="J257" s="5"/>
      <c r="K257" s="5"/>
      <c r="L257" s="6"/>
      <c r="M257" s="5"/>
      <c r="N257" s="4" t="str">
        <f aca="true">IF(L257="","",IF(L257&lt;TODAY(),"Expired","Active"))</f>
        <v/>
      </c>
    </row>
    <row r="258" customFormat="false" ht="15" hidden="false" customHeight="false" outlineLevel="0" collapsed="false">
      <c r="A258" s="4"/>
      <c r="B258" s="5"/>
      <c r="C258" s="5"/>
      <c r="D258" s="5"/>
      <c r="E258" s="5"/>
      <c r="F258" s="5"/>
      <c r="G258" s="5"/>
      <c r="H258" s="6"/>
      <c r="I258" s="6"/>
      <c r="J258" s="5"/>
      <c r="K258" s="5"/>
      <c r="L258" s="6"/>
      <c r="M258" s="5"/>
      <c r="N258" s="4" t="str">
        <f aca="true">IF(L258="","",IF(L258&lt;TODAY(),"Expired","Active"))</f>
        <v/>
      </c>
    </row>
    <row r="259" customFormat="false" ht="15" hidden="false" customHeight="false" outlineLevel="0" collapsed="false">
      <c r="A259" s="4"/>
      <c r="B259" s="5"/>
      <c r="C259" s="5"/>
      <c r="D259" s="5"/>
      <c r="E259" s="5"/>
      <c r="F259" s="5"/>
      <c r="G259" s="5"/>
      <c r="H259" s="6"/>
      <c r="I259" s="6"/>
      <c r="J259" s="5"/>
      <c r="K259" s="5"/>
      <c r="L259" s="6"/>
      <c r="M259" s="5"/>
      <c r="N259" s="4" t="str">
        <f aca="true">IF(L259="","",IF(L259&lt;TODAY(),"Expired","Active"))</f>
        <v/>
      </c>
    </row>
    <row r="260" customFormat="false" ht="15" hidden="false" customHeight="false" outlineLevel="0" collapsed="false">
      <c r="A260" s="4"/>
      <c r="B260" s="5"/>
      <c r="C260" s="5"/>
      <c r="D260" s="5"/>
      <c r="E260" s="5"/>
      <c r="F260" s="5"/>
      <c r="G260" s="5"/>
      <c r="H260" s="6"/>
      <c r="I260" s="6"/>
      <c r="J260" s="5"/>
      <c r="K260" s="5"/>
      <c r="L260" s="6"/>
      <c r="M260" s="5"/>
      <c r="N260" s="4" t="str">
        <f aca="true">IF(L260="","",IF(L260&lt;TODAY(),"Expired","Active"))</f>
        <v/>
      </c>
    </row>
    <row r="261" customFormat="false" ht="15" hidden="false" customHeight="false" outlineLevel="0" collapsed="false">
      <c r="A261" s="4"/>
      <c r="B261" s="5"/>
      <c r="C261" s="5"/>
      <c r="D261" s="5"/>
      <c r="E261" s="5"/>
      <c r="F261" s="5"/>
      <c r="G261" s="5"/>
      <c r="H261" s="6"/>
      <c r="I261" s="6"/>
      <c r="J261" s="5"/>
      <c r="K261" s="5"/>
      <c r="L261" s="6"/>
      <c r="M261" s="5"/>
      <c r="N261" s="4" t="str">
        <f aca="true">IF(L261="","",IF(L261&lt;TODAY(),"Expired","Active"))</f>
        <v/>
      </c>
    </row>
    <row r="262" customFormat="false" ht="15" hidden="false" customHeight="false" outlineLevel="0" collapsed="false">
      <c r="A262" s="4"/>
      <c r="B262" s="5"/>
      <c r="C262" s="5"/>
      <c r="D262" s="5"/>
      <c r="E262" s="5"/>
      <c r="F262" s="5"/>
      <c r="G262" s="5"/>
      <c r="H262" s="6"/>
      <c r="I262" s="6"/>
      <c r="J262" s="5"/>
      <c r="K262" s="5"/>
      <c r="L262" s="6"/>
      <c r="M262" s="5"/>
      <c r="N262" s="4" t="str">
        <f aca="true">IF(L262="","",IF(L262&lt;TODAY(),"Expired","Active"))</f>
        <v/>
      </c>
    </row>
    <row r="263" customFormat="false" ht="15" hidden="false" customHeight="false" outlineLevel="0" collapsed="false">
      <c r="A263" s="4"/>
      <c r="B263" s="5"/>
      <c r="C263" s="5"/>
      <c r="D263" s="5"/>
      <c r="E263" s="5"/>
      <c r="F263" s="5"/>
      <c r="G263" s="5"/>
      <c r="H263" s="6"/>
      <c r="I263" s="6"/>
      <c r="J263" s="5"/>
      <c r="K263" s="5"/>
      <c r="L263" s="6"/>
      <c r="M263" s="5"/>
      <c r="N263" s="4" t="str">
        <f aca="true">IF(L263="","",IF(L263&lt;TODAY(),"Expired","Active"))</f>
        <v/>
      </c>
    </row>
    <row r="264" customFormat="false" ht="15" hidden="false" customHeight="false" outlineLevel="0" collapsed="false">
      <c r="A264" s="4"/>
      <c r="B264" s="5"/>
      <c r="C264" s="5"/>
      <c r="D264" s="5"/>
      <c r="E264" s="5"/>
      <c r="F264" s="5"/>
      <c r="G264" s="5"/>
      <c r="H264" s="6"/>
      <c r="I264" s="6"/>
      <c r="J264" s="5"/>
      <c r="K264" s="5"/>
      <c r="L264" s="6"/>
      <c r="M264" s="5"/>
      <c r="N264" s="4" t="str">
        <f aca="true">IF(L264="","",IF(L264&lt;TODAY(),"Expired","Active"))</f>
        <v/>
      </c>
    </row>
    <row r="265" customFormat="false" ht="15" hidden="false" customHeight="false" outlineLevel="0" collapsed="false">
      <c r="A265" s="4"/>
      <c r="B265" s="5"/>
      <c r="C265" s="5"/>
      <c r="D265" s="5"/>
      <c r="E265" s="5"/>
      <c r="F265" s="5"/>
      <c r="G265" s="5"/>
      <c r="H265" s="6"/>
      <c r="I265" s="6"/>
      <c r="J265" s="5"/>
      <c r="K265" s="5"/>
      <c r="L265" s="6"/>
      <c r="M265" s="5"/>
      <c r="N265" s="4" t="str">
        <f aca="true">IF(L265="","",IF(L265&lt;TODAY(),"Expired","Active"))</f>
        <v/>
      </c>
    </row>
    <row r="266" customFormat="false" ht="15" hidden="false" customHeight="false" outlineLevel="0" collapsed="false">
      <c r="A266" s="4"/>
      <c r="B266" s="5"/>
      <c r="C266" s="5"/>
      <c r="D266" s="5"/>
      <c r="E266" s="5"/>
      <c r="F266" s="5"/>
      <c r="G266" s="5"/>
      <c r="H266" s="6"/>
      <c r="I266" s="6"/>
      <c r="J266" s="5"/>
      <c r="K266" s="5"/>
      <c r="L266" s="6"/>
      <c r="M266" s="5"/>
      <c r="N266" s="4" t="str">
        <f aca="true">IF(L266="","",IF(L266&lt;TODAY(),"Expired","Active"))</f>
        <v/>
      </c>
    </row>
    <row r="267" customFormat="false" ht="15" hidden="false" customHeight="false" outlineLevel="0" collapsed="false">
      <c r="A267" s="4"/>
      <c r="B267" s="5"/>
      <c r="C267" s="5"/>
      <c r="D267" s="5"/>
      <c r="E267" s="5"/>
      <c r="F267" s="5"/>
      <c r="G267" s="5"/>
      <c r="H267" s="6"/>
      <c r="I267" s="6"/>
      <c r="J267" s="5"/>
      <c r="K267" s="5"/>
      <c r="L267" s="6"/>
      <c r="M267" s="5"/>
      <c r="N267" s="4" t="str">
        <f aca="true">IF(L267="","",IF(L267&lt;TODAY(),"Expired","Active"))</f>
        <v/>
      </c>
    </row>
    <row r="268" customFormat="false" ht="15" hidden="false" customHeight="false" outlineLevel="0" collapsed="false">
      <c r="A268" s="4"/>
      <c r="B268" s="5"/>
      <c r="C268" s="5"/>
      <c r="D268" s="5"/>
      <c r="E268" s="5"/>
      <c r="F268" s="5"/>
      <c r="G268" s="5"/>
      <c r="H268" s="6"/>
      <c r="I268" s="6"/>
      <c r="J268" s="5"/>
      <c r="K268" s="5"/>
      <c r="L268" s="6"/>
      <c r="M268" s="5"/>
      <c r="N268" s="4" t="str">
        <f aca="true">IF(L268="","",IF(L268&lt;TODAY(),"Expired","Active"))</f>
        <v/>
      </c>
    </row>
    <row r="269" customFormat="false" ht="15" hidden="false" customHeight="false" outlineLevel="0" collapsed="false">
      <c r="A269" s="4"/>
      <c r="B269" s="5"/>
      <c r="C269" s="5"/>
      <c r="D269" s="5"/>
      <c r="E269" s="5"/>
      <c r="F269" s="5"/>
      <c r="G269" s="5"/>
      <c r="H269" s="6"/>
      <c r="I269" s="6"/>
      <c r="J269" s="5"/>
      <c r="K269" s="5"/>
      <c r="L269" s="6"/>
      <c r="M269" s="5"/>
      <c r="N269" s="4" t="str">
        <f aca="true">IF(L269="","",IF(L269&lt;TODAY(),"Expired","Active"))</f>
        <v/>
      </c>
    </row>
    <row r="270" customFormat="false" ht="15" hidden="false" customHeight="false" outlineLevel="0" collapsed="false">
      <c r="A270" s="4"/>
      <c r="B270" s="5"/>
      <c r="C270" s="5"/>
      <c r="D270" s="5"/>
      <c r="E270" s="5"/>
      <c r="F270" s="5"/>
      <c r="G270" s="5"/>
      <c r="H270" s="6"/>
      <c r="I270" s="6"/>
      <c r="J270" s="5"/>
      <c r="K270" s="5"/>
      <c r="L270" s="6"/>
      <c r="M270" s="5"/>
      <c r="N270" s="4" t="str">
        <f aca="true">IF(L270="","",IF(L270&lt;TODAY(),"Expired","Active"))</f>
        <v/>
      </c>
    </row>
    <row r="271" customFormat="false" ht="15" hidden="false" customHeight="false" outlineLevel="0" collapsed="false">
      <c r="A271" s="4"/>
      <c r="B271" s="5"/>
      <c r="C271" s="5"/>
      <c r="D271" s="5"/>
      <c r="E271" s="5"/>
      <c r="F271" s="5"/>
      <c r="G271" s="5"/>
      <c r="H271" s="6"/>
      <c r="I271" s="6"/>
      <c r="J271" s="5"/>
      <c r="K271" s="5"/>
      <c r="L271" s="6"/>
      <c r="M271" s="5"/>
      <c r="N271" s="4" t="str">
        <f aca="true">IF(L271="","",IF(L271&lt;TODAY(),"Expired","Active"))</f>
        <v/>
      </c>
    </row>
    <row r="272" customFormat="false" ht="15" hidden="false" customHeight="false" outlineLevel="0" collapsed="false">
      <c r="A272" s="4"/>
      <c r="B272" s="5"/>
      <c r="C272" s="5"/>
      <c r="D272" s="5"/>
      <c r="E272" s="5"/>
      <c r="F272" s="5"/>
      <c r="G272" s="5"/>
      <c r="H272" s="6"/>
      <c r="I272" s="6"/>
      <c r="J272" s="5"/>
      <c r="K272" s="5"/>
      <c r="L272" s="6"/>
      <c r="M272" s="5"/>
      <c r="N272" s="4" t="str">
        <f aca="true">IF(L272="","",IF(L272&lt;TODAY(),"Expired","Active"))</f>
        <v/>
      </c>
    </row>
    <row r="273" customFormat="false" ht="15" hidden="false" customHeight="false" outlineLevel="0" collapsed="false">
      <c r="A273" s="4"/>
      <c r="B273" s="5"/>
      <c r="C273" s="5"/>
      <c r="D273" s="5"/>
      <c r="E273" s="5"/>
      <c r="F273" s="5"/>
      <c r="G273" s="5"/>
      <c r="H273" s="6"/>
      <c r="I273" s="6"/>
      <c r="J273" s="5"/>
      <c r="K273" s="5"/>
      <c r="L273" s="6"/>
      <c r="M273" s="5"/>
      <c r="N273" s="4" t="str">
        <f aca="true">IF(L273="","",IF(L273&lt;TODAY(),"Expired","Active"))</f>
        <v/>
      </c>
    </row>
    <row r="274" customFormat="false" ht="15" hidden="false" customHeight="false" outlineLevel="0" collapsed="false">
      <c r="A274" s="4"/>
      <c r="B274" s="5"/>
      <c r="C274" s="5"/>
      <c r="D274" s="5"/>
      <c r="E274" s="5"/>
      <c r="F274" s="5"/>
      <c r="G274" s="5"/>
      <c r="H274" s="6"/>
      <c r="I274" s="6"/>
      <c r="J274" s="5"/>
      <c r="K274" s="5"/>
      <c r="L274" s="6"/>
      <c r="M274" s="5"/>
      <c r="N274" s="4" t="str">
        <f aca="true">IF(L274="","",IF(L274&lt;TODAY(),"Expired","Active"))</f>
        <v/>
      </c>
    </row>
    <row r="275" customFormat="false" ht="15" hidden="false" customHeight="false" outlineLevel="0" collapsed="false">
      <c r="A275" s="4"/>
      <c r="B275" s="5"/>
      <c r="C275" s="5"/>
      <c r="D275" s="5"/>
      <c r="E275" s="5"/>
      <c r="F275" s="5"/>
      <c r="G275" s="5"/>
      <c r="H275" s="6"/>
      <c r="I275" s="6"/>
      <c r="J275" s="5"/>
      <c r="K275" s="5"/>
      <c r="L275" s="6"/>
      <c r="M275" s="5"/>
      <c r="N275" s="4" t="str">
        <f aca="true">IF(L275="","",IF(L275&lt;TODAY(),"Expired","Active"))</f>
        <v/>
      </c>
    </row>
    <row r="276" customFormat="false" ht="15" hidden="false" customHeight="false" outlineLevel="0" collapsed="false">
      <c r="A276" s="4"/>
      <c r="B276" s="5"/>
      <c r="C276" s="5"/>
      <c r="D276" s="5"/>
      <c r="E276" s="5"/>
      <c r="F276" s="5"/>
      <c r="G276" s="5"/>
      <c r="H276" s="6"/>
      <c r="I276" s="6"/>
      <c r="J276" s="5"/>
      <c r="K276" s="5"/>
      <c r="L276" s="6"/>
      <c r="M276" s="5"/>
      <c r="N276" s="4" t="str">
        <f aca="true">IF(L276="","",IF(L276&lt;TODAY(),"Expired","Active"))</f>
        <v/>
      </c>
    </row>
    <row r="277" customFormat="false" ht="15" hidden="false" customHeight="false" outlineLevel="0" collapsed="false">
      <c r="A277" s="4"/>
      <c r="B277" s="5"/>
      <c r="C277" s="5"/>
      <c r="D277" s="5"/>
      <c r="E277" s="5"/>
      <c r="F277" s="5"/>
      <c r="G277" s="5"/>
      <c r="H277" s="6"/>
      <c r="I277" s="6"/>
      <c r="J277" s="5"/>
      <c r="K277" s="5"/>
      <c r="L277" s="6"/>
      <c r="M277" s="5"/>
      <c r="N277" s="4" t="str">
        <f aca="true">IF(L277="","",IF(L277&lt;TODAY(),"Expired","Active"))</f>
        <v/>
      </c>
    </row>
    <row r="278" customFormat="false" ht="15" hidden="false" customHeight="false" outlineLevel="0" collapsed="false">
      <c r="A278" s="4"/>
      <c r="B278" s="5"/>
      <c r="C278" s="5"/>
      <c r="D278" s="5"/>
      <c r="E278" s="5"/>
      <c r="F278" s="5"/>
      <c r="G278" s="5"/>
      <c r="H278" s="6"/>
      <c r="I278" s="6"/>
      <c r="J278" s="5"/>
      <c r="K278" s="5"/>
      <c r="L278" s="6"/>
      <c r="M278" s="5"/>
      <c r="N278" s="4" t="str">
        <f aca="true">IF(L278="","",IF(L278&lt;TODAY(),"Expired","Active"))</f>
        <v/>
      </c>
    </row>
    <row r="279" customFormat="false" ht="15" hidden="false" customHeight="false" outlineLevel="0" collapsed="false">
      <c r="A279" s="4"/>
      <c r="B279" s="5"/>
      <c r="C279" s="5"/>
      <c r="D279" s="5"/>
      <c r="E279" s="5"/>
      <c r="F279" s="5"/>
      <c r="G279" s="5"/>
      <c r="H279" s="6"/>
      <c r="I279" s="6"/>
      <c r="J279" s="5"/>
      <c r="K279" s="5"/>
      <c r="L279" s="6"/>
      <c r="M279" s="5"/>
      <c r="N279" s="4" t="str">
        <f aca="true">IF(L279="","",IF(L279&lt;TODAY(),"Expired","Active"))</f>
        <v/>
      </c>
    </row>
    <row r="280" customFormat="false" ht="15" hidden="false" customHeight="false" outlineLevel="0" collapsed="false">
      <c r="A280" s="4"/>
      <c r="B280" s="5"/>
      <c r="C280" s="5"/>
      <c r="D280" s="5"/>
      <c r="E280" s="5"/>
      <c r="F280" s="5"/>
      <c r="G280" s="5"/>
      <c r="H280" s="6"/>
      <c r="I280" s="6"/>
      <c r="J280" s="5"/>
      <c r="K280" s="5"/>
      <c r="L280" s="6"/>
      <c r="M280" s="5"/>
      <c r="N280" s="4" t="str">
        <f aca="true">IF(L280="","",IF(L280&lt;TODAY(),"Expired","Active"))</f>
        <v/>
      </c>
    </row>
  </sheetData>
  <autoFilter ref="A4:N280"/>
  <conditionalFormatting sqref="N5:N280">
    <cfRule type="expression" priority="2" aboveAverage="0" equalAverage="0" bottom="0" percent="0" rank="0" text="" dxfId="10">
      <formula>$N5="Expired"</formula>
    </cfRule>
    <cfRule type="expression" priority="3" aboveAverage="0" equalAverage="0" bottom="0" percent="0" rank="0" text="" dxfId="11">
      <formula>$N5="Active"</formula>
    </cfRule>
  </conditionalFormatting>
  <conditionalFormatting sqref="G5:G280">
    <cfRule type="expression" priority="4" aboveAverage="0" equalAverage="0" bottom="0" percent="0" rank="0" text="" dxfId="12">
      <formula>$G5="Critical"</formula>
    </cfRule>
  </conditionalFormatting>
  <dataValidations count="5">
    <dataValidation allowBlank="true" errorStyle="stop" operator="between" showDropDown="false" showErrorMessage="false" showInputMessage="false" sqref="C5:C280" type="list">
      <formula1>Lists!$A$1:$A$16</formula1>
      <formula2>0</formula2>
    </dataValidation>
    <dataValidation allowBlank="true" errorStyle="stop" operator="between" showDropDown="false" showErrorMessage="false" showInputMessage="false" sqref="F5:F280" type="list">
      <formula1>Lists!$B$1:$B$3</formula1>
      <formula2>0</formula2>
    </dataValidation>
    <dataValidation allowBlank="true" errorStyle="stop" operator="between" showDropDown="false" showErrorMessage="false" showInputMessage="false" sqref="G5:G280" type="list">
      <formula1>Lists!$C$1:$C$4</formula1>
      <formula2>0</formula2>
    </dataValidation>
    <dataValidation allowBlank="true" errorStyle="stop" operator="between" showDropDown="false" showErrorMessage="false" showInputMessage="false" sqref="K5:K280" type="list">
      <formula1>Lists!$D$1:$D$5</formula1>
      <formula2>0</formula2>
    </dataValidation>
    <dataValidation allowBlank="true" error="Enter a date (YYYY-MM-DD)" errorStyle="stop" operator="greaterThan" showDropDown="false" showErrorMessage="false" showInputMessage="false" sqref="H5:I280 L5:L280" type="date">
      <formula1>DATE(2000,1,1)</formula1>
      <formula2>0</formula2>
    </dataValidation>
  </dataValidations>
  <hyperlinks>
    <hyperlink ref="J5" r:id="rId1" display="ThreatFox #1963079"/>
    <hyperlink ref="J6" r:id="rId2" display="ThreatFox #1963078"/>
    <hyperlink ref="J7" r:id="rId3" display="ThreatFox #1963077"/>
    <hyperlink ref="J8" r:id="rId4" display="ThreatFox #1963076"/>
    <hyperlink ref="J9" r:id="rId5" display="ThreatFox #1963075"/>
    <hyperlink ref="J10" r:id="rId6" display="ThreatFox #1963074"/>
    <hyperlink ref="J11" r:id="rId7" display="ThreatFox #1963073"/>
    <hyperlink ref="J12" r:id="rId8" display="ThreatFox #1963072"/>
    <hyperlink ref="J13" r:id="rId9" display="ThreatFox #1963071"/>
    <hyperlink ref="J14" r:id="rId10" display="ThreatFox #1963070"/>
    <hyperlink ref="J15" r:id="rId11" display="ThreatFox #1963069"/>
    <hyperlink ref="J16" r:id="rId12" display="ThreatFox #1963068"/>
    <hyperlink ref="J17" r:id="rId13" display="ThreatFox #1963067"/>
    <hyperlink ref="J18" r:id="rId14" display="ThreatFox #1963066"/>
    <hyperlink ref="J19" r:id="rId15" display="ThreatFox #1963065"/>
    <hyperlink ref="J20" r:id="rId16" display="ThreatFox #1963064"/>
    <hyperlink ref="J21" r:id="rId17" display="ThreatFox #1963063"/>
    <hyperlink ref="J22" r:id="rId18" display="ThreatFox #1963062"/>
    <hyperlink ref="J23" r:id="rId19" display="ThreatFox #1963061"/>
    <hyperlink ref="J24" r:id="rId20" display="ThreatFox #1963060"/>
    <hyperlink ref="J25" r:id="rId21" display="ThreatFox #1963059"/>
    <hyperlink ref="J26" r:id="rId22" display="ThreatFox #1963058"/>
    <hyperlink ref="J27" r:id="rId23" display="ThreatFox #1963057"/>
    <hyperlink ref="J28" r:id="rId24" display="ThreatFox #1963056"/>
    <hyperlink ref="J29" r:id="rId25" display="ThreatFox #1963055"/>
    <hyperlink ref="J30" r:id="rId26" display="ThreatFox #1963054"/>
    <hyperlink ref="J31" r:id="rId27" display="ThreatFox #1963053"/>
    <hyperlink ref="J32" r:id="rId28" display="ThreatFox #1963052"/>
    <hyperlink ref="J33" r:id="rId29" display="ThreatFox #1963051"/>
    <hyperlink ref="J34" r:id="rId30" display="ThreatFox #1963050"/>
    <hyperlink ref="J35" r:id="rId31" display="ThreatFox #1963049"/>
    <hyperlink ref="J36" r:id="rId32" display="ThreatFox #1963048"/>
    <hyperlink ref="J37" r:id="rId33" display="ThreatFox #1963047"/>
    <hyperlink ref="J38" r:id="rId34" display="ThreatFox #1963046"/>
    <hyperlink ref="J39" r:id="rId35" display="ThreatFox #1963045"/>
    <hyperlink ref="J40" r:id="rId36" display="ThreatFox #1963044"/>
    <hyperlink ref="J41" r:id="rId37" display="ThreatFox #1963043"/>
    <hyperlink ref="J42" r:id="rId38" display="ThreatFox #1963042"/>
    <hyperlink ref="J43" r:id="rId39" display="ThreatFox #1963041"/>
    <hyperlink ref="J44" r:id="rId40" display="ThreatFox #1963040"/>
    <hyperlink ref="J45" r:id="rId41" display="ThreatFox #1963039"/>
    <hyperlink ref="J46" r:id="rId42" display="ThreatFox #1963038"/>
    <hyperlink ref="J47" r:id="rId43" display="ThreatFox #1963037"/>
    <hyperlink ref="J48" r:id="rId44" display="ThreatFox #1963036"/>
    <hyperlink ref="J49" r:id="rId45" display="ThreatFox #1963035"/>
    <hyperlink ref="J50" r:id="rId46" display="ThreatFox #1963034"/>
    <hyperlink ref="J51" r:id="rId47" display="ThreatFox #1963033"/>
    <hyperlink ref="J52" r:id="rId48" display="ThreatFox #1963032"/>
    <hyperlink ref="J53" r:id="rId49" display="ThreatFox #1963031"/>
    <hyperlink ref="J54" r:id="rId50" display="ThreatFox #1963030"/>
    <hyperlink ref="J55" r:id="rId51" display="ThreatFox #1963028"/>
    <hyperlink ref="J56" r:id="rId52" display="ThreatFox #1963027"/>
    <hyperlink ref="J57" r:id="rId53" display="ThreatFox #1963026"/>
    <hyperlink ref="J58" r:id="rId54" display="ThreatFox #1963025"/>
    <hyperlink ref="J59" r:id="rId55" display="ThreatFox #1963024"/>
    <hyperlink ref="J60" r:id="rId56" display="ThreatFox #1963023"/>
    <hyperlink ref="J61" r:id="rId57" display="ThreatFox #1963022"/>
    <hyperlink ref="J62" r:id="rId58" display="ThreatFox #1963021"/>
    <hyperlink ref="J63" r:id="rId59" display="ThreatFox #1963020"/>
    <hyperlink ref="J64" r:id="rId60" display="ThreatFox #1963019"/>
    <hyperlink ref="J65" r:id="rId61" display="ThreatFox #1962805"/>
    <hyperlink ref="J66" r:id="rId62" display="ThreatFox #1962785"/>
    <hyperlink ref="J67" r:id="rId63" display="ThreatFox #1962784"/>
    <hyperlink ref="J68" r:id="rId64" display="ThreatFox #1962747"/>
    <hyperlink ref="J69" r:id="rId65" display="ThreatFox #1962745"/>
    <hyperlink ref="J70" r:id="rId66" display="ThreatFox #1962721"/>
    <hyperlink ref="J71" r:id="rId67" display="ThreatFox #1962067"/>
    <hyperlink ref="J72" r:id="rId68" display="ThreatFox #1962438"/>
    <hyperlink ref="J73" r:id="rId69" display="ThreatFox #1962514"/>
    <hyperlink ref="J74" r:id="rId70" display="ThreatFox #1962553"/>
    <hyperlink ref="J75" r:id="rId71" display="ThreatFox #1962554"/>
    <hyperlink ref="J76" r:id="rId72" display="ThreatFox #1962555"/>
    <hyperlink ref="J77" r:id="rId73" display="ThreatFox #1962556"/>
    <hyperlink ref="J78" r:id="rId74" display="ThreatFox #1962557"/>
    <hyperlink ref="J79" r:id="rId75" display="ThreatFox #1962558"/>
    <hyperlink ref="J80" r:id="rId76" display="ThreatFox #1962707"/>
    <hyperlink ref="J81" r:id="rId77" display="ThreatFox #1962700"/>
    <hyperlink ref="J82" r:id="rId78" display="ThreatFox #1962673"/>
    <hyperlink ref="J83" r:id="rId79" display="ThreatFox #1962674"/>
    <hyperlink ref="J84" r:id="rId80" display="ThreatFox #1962664"/>
    <hyperlink ref="J85" r:id="rId81" display="ThreatFox #1962656"/>
    <hyperlink ref="J86" r:id="rId82" display="ThreatFox #1962655"/>
    <hyperlink ref="J87" r:id="rId83" display="ThreatFox #1962654"/>
    <hyperlink ref="J88" r:id="rId84" display="ThreatFox #1962653"/>
    <hyperlink ref="J89" r:id="rId85" display="ThreatFox #1962652"/>
    <hyperlink ref="J90" r:id="rId86" display="ThreatFox #1962630"/>
    <hyperlink ref="J91" r:id="rId87" display="ThreatFox #1962596"/>
    <hyperlink ref="J92" r:id="rId88" display="ThreatFox #1962597"/>
    <hyperlink ref="J93" r:id="rId89" display="ThreatFox #1962595"/>
    <hyperlink ref="J94" r:id="rId90" display="ThreatFox #1962503"/>
    <hyperlink ref="J95" r:id="rId91" display="MalwareBazaar"/>
    <hyperlink ref="J96" r:id="rId92" display="MalwareBazaar"/>
    <hyperlink ref="J97" r:id="rId93" display="MalwareBazaar"/>
    <hyperlink ref="J98" r:id="rId94" display="MalwareBazaar"/>
    <hyperlink ref="J99" r:id="rId95" display="MalwareBazaar"/>
    <hyperlink ref="J100" r:id="rId96" display="MalwareBazaar"/>
    <hyperlink ref="J101" r:id="rId97" display="MalwareBazaar"/>
    <hyperlink ref="J102" r:id="rId98" display="MalwareBazaar"/>
    <hyperlink ref="J103" r:id="rId99" display="MalwareBazaar"/>
    <hyperlink ref="J104" r:id="rId100" display="MalwareBazaar"/>
    <hyperlink ref="J105" r:id="rId101" display="MalwareBazaar"/>
    <hyperlink ref="J106" r:id="rId102" display="MalwareBazaar"/>
    <hyperlink ref="J107" r:id="rId103" display="MalwareBazaar"/>
    <hyperlink ref="J108" r:id="rId104" display="MalwareBazaar"/>
    <hyperlink ref="J109" r:id="rId105" display="MalwareBazaar"/>
    <hyperlink ref="J110" r:id="rId106" display="MalwareBazaar"/>
    <hyperlink ref="J111" r:id="rId107" display="MalwareBazaar"/>
    <hyperlink ref="J112" r:id="rId108" display="MalwareBazaar"/>
    <hyperlink ref="J113" r:id="rId109" display="MalwareBazaar"/>
    <hyperlink ref="J114" r:id="rId110" display="MalwareBazaar"/>
    <hyperlink ref="J115" r:id="rId111" display="MalwareBazaar"/>
    <hyperlink ref="J116" r:id="rId112" display="MalwareBazaar"/>
    <hyperlink ref="J117" r:id="rId113" display="MalwareBazaar"/>
    <hyperlink ref="J118" r:id="rId114" display="MalwareBazaar"/>
    <hyperlink ref="J119" r:id="rId115" display="MalwareBazaar"/>
    <hyperlink ref="J120" r:id="rId116" display="MalwareBazaar"/>
    <hyperlink ref="J121" r:id="rId117" display="MalwareBazaar"/>
    <hyperlink ref="J122" r:id="rId118" display="MalwareBazaar"/>
    <hyperlink ref="J123" r:id="rId119" display="MalwareBazaar"/>
    <hyperlink ref="J124" r:id="rId120" display="MalwareBazaar"/>
    <hyperlink ref="J125" r:id="rId121" display="MalwareBazaar"/>
    <hyperlink ref="J126" r:id="rId122" display="MalwareBazaar"/>
    <hyperlink ref="J127" r:id="rId123" display="MalwareBazaar"/>
    <hyperlink ref="J128" r:id="rId124" display="MalwareBazaar"/>
    <hyperlink ref="J129" r:id="rId125" display="MalwareBazaar"/>
    <hyperlink ref="J130" r:id="rId126" display="MalwareBazaar"/>
    <hyperlink ref="J131" r:id="rId127" display="MalwareBazaar"/>
    <hyperlink ref="J132" r:id="rId128" display="MalwareBazaar"/>
    <hyperlink ref="J133" r:id="rId129" display="MalwareBazaar"/>
    <hyperlink ref="J134" r:id="rId130" display="MalwareBazaar"/>
    <hyperlink ref="J135" r:id="rId131" display="MalwareBazaar"/>
    <hyperlink ref="J136" r:id="rId132" display="MalwareBazaar"/>
    <hyperlink ref="J137" r:id="rId133" display="MalwareBazaar"/>
    <hyperlink ref="J138" r:id="rId134" display="MalwareBazaar"/>
    <hyperlink ref="J139" r:id="rId135" display="MalwareBazaar"/>
    <hyperlink ref="J140" r:id="rId136" display="MalwareBazaar"/>
    <hyperlink ref="J141" r:id="rId137" display="MalwareBazaar"/>
    <hyperlink ref="J142" r:id="rId138" display="MalwareBazaar"/>
    <hyperlink ref="J143" r:id="rId139" display="MalwareBazaar"/>
    <hyperlink ref="J144" r:id="rId140" display="MalwareBazaar"/>
    <hyperlink ref="J145" r:id="rId141" display="MalwareBazaar"/>
    <hyperlink ref="J146" r:id="rId142" display="MalwareBazaar"/>
    <hyperlink ref="J147" r:id="rId143" display="MalwareBazaar"/>
    <hyperlink ref="J148" r:id="rId144" display="MalwareBazaar"/>
    <hyperlink ref="J149" r:id="rId145" display="MalwareBazaar"/>
    <hyperlink ref="J150" r:id="rId146" display="MalwareBazaar"/>
    <hyperlink ref="J151" r:id="rId147" display="MalwareBazaar"/>
    <hyperlink ref="J152" r:id="rId148" display="MalwareBazaar"/>
    <hyperlink ref="J153" r:id="rId149" display="MalwareBazaar"/>
    <hyperlink ref="J154" r:id="rId150" display="MalwareBazaar"/>
    <hyperlink ref="J155" r:id="rId151" display="MalwareBazaar"/>
    <hyperlink ref="J156" r:id="rId152" display="MalwareBazaar"/>
    <hyperlink ref="J157" r:id="rId153" display="MalwareBazaar"/>
    <hyperlink ref="J158" r:id="rId154" display="MalwareBazaar"/>
    <hyperlink ref="J159" r:id="rId155" display="MalwareBazaar"/>
    <hyperlink ref="J160" r:id="rId156" display="MalwareBazaar"/>
    <hyperlink ref="J161" r:id="rId157" display="MalwareBazaar"/>
    <hyperlink ref="J162" r:id="rId158" display="MalwareBazaar"/>
    <hyperlink ref="J163" r:id="rId159" display="MalwareBazaar"/>
    <hyperlink ref="J164" r:id="rId160" display="MalwareBazaar"/>
    <hyperlink ref="J165" r:id="rId161" display="MalwareBazaar"/>
    <hyperlink ref="J166" r:id="rId162" display="MalwareBazaar"/>
    <hyperlink ref="J167" r:id="rId163" display="MalwareBazaar"/>
    <hyperlink ref="J168" r:id="rId164" display="MalwareBazaar"/>
    <hyperlink ref="J169" r:id="rId165" display="MalwareBazaar"/>
    <hyperlink ref="J170" r:id="rId166" display="MalwareBazaar"/>
    <hyperlink ref="J171" r:id="rId167" display="MalwareBazaar"/>
    <hyperlink ref="J172" r:id="rId168" display="MalwareBazaar"/>
    <hyperlink ref="J173" r:id="rId169" display="MalwareBazaar"/>
    <hyperlink ref="J174" r:id="rId170" display="MalwareBazaar"/>
    <hyperlink ref="J175" r:id="rId171" display="MalwareBazaar"/>
    <hyperlink ref="J176" r:id="rId172" display="Feodo Tracker"/>
    <hyperlink ref="J177" r:id="rId173" display="Feodo Tracker"/>
    <hyperlink ref="J178" r:id="rId174" display="Feodo Tracker"/>
    <hyperlink ref="J179" r:id="rId175" display="Feodo Tracker"/>
    <hyperlink ref="J180" r:id="rId176" display="Feodo Trac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539</v>
      </c>
    </row>
    <row r="3" customFormat="false" ht="15" hidden="false" customHeight="false" outlineLevel="0" collapsed="false">
      <c r="A3" s="9" t="s">
        <v>540</v>
      </c>
      <c r="B3" s="10" t="n">
        <f aca="false">COUNTA('IOC Tracker'!B5:B280)</f>
        <v>176</v>
      </c>
    </row>
    <row r="4" customFormat="false" ht="15" hidden="false" customHeight="false" outlineLevel="0" collapsed="false">
      <c r="A4" s="9" t="s">
        <v>541</v>
      </c>
      <c r="B4" s="10" t="n">
        <f aca="false">COUNTIF('IOC Tracker'!N5:N280,"Active")</f>
        <v>171</v>
      </c>
    </row>
    <row r="5" customFormat="false" ht="15" hidden="false" customHeight="false" outlineLevel="0" collapsed="false">
      <c r="A5" s="9" t="s">
        <v>542</v>
      </c>
      <c r="B5" s="10" t="n">
        <f aca="false">COUNTIF('IOC Tracker'!N5:N280,"Expired")</f>
        <v>5</v>
      </c>
    </row>
    <row r="6" customFormat="false" ht="15" hidden="false" customHeight="false" outlineLevel="0" collapsed="false">
      <c r="A6" s="9" t="s">
        <v>543</v>
      </c>
      <c r="B6" s="10" t="n">
        <f aca="false">COUNTIF('IOC Tracker'!G5:G280,"Critical")</f>
        <v>0</v>
      </c>
    </row>
    <row r="7" customFormat="false" ht="15" hidden="false" customHeight="false" outlineLevel="0" collapsed="false">
      <c r="A7" s="9" t="s">
        <v>544</v>
      </c>
      <c r="B7" s="10" t="n">
        <f aca="false">COUNTIF('IOC Tracker'!F5:F280,"High")</f>
        <v>151</v>
      </c>
    </row>
    <row r="8" customFormat="false" ht="15" hidden="false" customHeight="false" outlineLevel="0" collapsed="false">
      <c r="A8" s="9" t="s">
        <v>545</v>
      </c>
      <c r="B8" s="10" t="n">
        <f aca="false">COUNTIF('IOC Tracker'!K5:K280,"Blocked")</f>
        <v>0</v>
      </c>
    </row>
    <row r="11" customFormat="false" ht="15" hidden="false" customHeight="false" outlineLevel="0" collapsed="false">
      <c r="A11" s="11" t="s">
        <v>546</v>
      </c>
    </row>
    <row r="12" customFormat="false" ht="15" hidden="false" customHeight="false" outlineLevel="0" collapsed="false">
      <c r="A12" s="10" t="s">
        <v>157</v>
      </c>
      <c r="B12" s="10" t="n">
        <f aca="false">COUNTIF('IOC Tracker'!C5:C280,A12)</f>
        <v>36</v>
      </c>
    </row>
    <row r="13" customFormat="false" ht="15" hidden="false" customHeight="false" outlineLevel="0" collapsed="false">
      <c r="A13" s="10" t="s">
        <v>70</v>
      </c>
      <c r="B13" s="10" t="n">
        <f aca="false">COUNTIF('IOC Tracker'!C5:C280,A13)</f>
        <v>5</v>
      </c>
    </row>
    <row r="14" customFormat="false" ht="15" hidden="false" customHeight="false" outlineLevel="0" collapsed="false">
      <c r="A14" s="10" t="s">
        <v>18</v>
      </c>
      <c r="B14" s="10" t="n">
        <f aca="false">COUNTIF('IOC Tracker'!C5:C280,A14)</f>
        <v>53</v>
      </c>
    </row>
    <row r="15" customFormat="false" ht="15" hidden="false" customHeight="false" outlineLevel="0" collapsed="false">
      <c r="A15" s="10" t="s">
        <v>330</v>
      </c>
      <c r="B15" s="10" t="n">
        <f aca="false">COUNTIF('IOC Tracker'!C5:C280,A15)</f>
        <v>25</v>
      </c>
    </row>
    <row r="16" customFormat="false" ht="15" hidden="false" customHeight="false" outlineLevel="0" collapsed="false">
      <c r="A16" s="10" t="s">
        <v>327</v>
      </c>
      <c r="B16" s="10" t="n">
        <f aca="false">COUNTIF('IOC Tracker'!C5:C280,A16)</f>
        <v>25</v>
      </c>
    </row>
    <row r="17" customFormat="false" ht="15" hidden="false" customHeight="false" outlineLevel="0" collapsed="false">
      <c r="A17" s="10" t="s">
        <v>205</v>
      </c>
      <c r="B17" s="10" t="n">
        <f aca="false">COUNTIF('IOC Tracker'!C5:C280,A17)</f>
        <v>26</v>
      </c>
    </row>
    <row r="18" customFormat="false" ht="15" hidden="false" customHeight="false" outlineLevel="0" collapsed="false">
      <c r="A18" s="10" t="s">
        <v>547</v>
      </c>
      <c r="B18" s="10" t="n">
        <f aca="false">COUNTIF('IOC Tracker'!C5:C280,A18)</f>
        <v>0</v>
      </c>
    </row>
    <row r="19" customFormat="false" ht="15" hidden="false" customHeight="false" outlineLevel="0" collapsed="false">
      <c r="A19" s="10" t="s">
        <v>548</v>
      </c>
      <c r="B19" s="10" t="n">
        <f aca="false">COUNTIF('IOC Tracker'!C5:C280,A19)</f>
        <v>0</v>
      </c>
    </row>
    <row r="20" customFormat="false" ht="15" hidden="false" customHeight="false" outlineLevel="0" collapsed="false">
      <c r="A20" s="10" t="s">
        <v>349</v>
      </c>
      <c r="B20" s="10" t="n">
        <f aca="false">COUNTIF('IOC Tracker'!C5:C280,A20)</f>
        <v>6</v>
      </c>
    </row>
    <row r="21" customFormat="false" ht="15" hidden="false" customHeight="false" outlineLevel="0" collapsed="false">
      <c r="A21" s="10" t="s">
        <v>549</v>
      </c>
      <c r="B21" s="10" t="n">
        <f aca="false">COUNTIF('IOC Tracker'!C5:C280,A21)</f>
        <v>0</v>
      </c>
    </row>
    <row r="22" customFormat="false" ht="15" hidden="false" customHeight="false" outlineLevel="0" collapsed="false">
      <c r="A22" s="10" t="s">
        <v>550</v>
      </c>
      <c r="B22" s="10" t="n">
        <f aca="false">COUNTIF('IOC Tracker'!C5:C280,A22)</f>
        <v>0</v>
      </c>
    </row>
    <row r="23" customFormat="false" ht="15" hidden="false" customHeight="false" outlineLevel="0" collapsed="false">
      <c r="A23" s="10" t="s">
        <v>551</v>
      </c>
      <c r="B23" s="10" t="n">
        <f aca="false">COUNTIF('IOC Tracker'!C5:C280,A23)</f>
        <v>0</v>
      </c>
    </row>
    <row r="24" customFormat="false" ht="15" hidden="false" customHeight="false" outlineLevel="0" collapsed="false">
      <c r="A24" s="10" t="s">
        <v>552</v>
      </c>
      <c r="B24" s="10" t="n">
        <f aca="false">COUNTIF('IOC Tracker'!C5:C280,A24)</f>
        <v>0</v>
      </c>
    </row>
    <row r="25" customFormat="false" ht="15" hidden="false" customHeight="false" outlineLevel="0" collapsed="false">
      <c r="A25" s="10" t="s">
        <v>553</v>
      </c>
      <c r="B25" s="10" t="n">
        <f aca="false">COUNTIF('IOC Tracker'!C5:C280,A25)</f>
        <v>0</v>
      </c>
    </row>
    <row r="26" customFormat="false" ht="15" hidden="false" customHeight="false" outlineLevel="0" collapsed="false">
      <c r="A26" s="10" t="s">
        <v>554</v>
      </c>
      <c r="B26" s="10" t="n">
        <f aca="false">COUNTIF('IOC Tracker'!C5:C280,A26)</f>
        <v>0</v>
      </c>
    </row>
    <row r="27" customFormat="false" ht="15" hidden="false" customHeight="false" outlineLevel="0" collapsed="false">
      <c r="A27" s="10" t="s">
        <v>555</v>
      </c>
      <c r="B27" s="10" t="n">
        <f aca="false">COUNTIF('IOC Tracker'!C5:C280,A27)</f>
        <v>0</v>
      </c>
    </row>
    <row r="29" customFormat="false" ht="15" hidden="false" customHeight="false" outlineLevel="0" collapsed="false">
      <c r="A29" s="2" t="s">
        <v>556</v>
      </c>
    </row>
    <row r="30" customFormat="false" ht="15" hidden="false" customHeight="false" outlineLevel="0" collapsed="false">
      <c r="A30" s="2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157</v>
      </c>
      <c r="B1" s="0" t="s">
        <v>21</v>
      </c>
      <c r="C1" s="0" t="s">
        <v>558</v>
      </c>
      <c r="D1" s="0" t="s">
        <v>545</v>
      </c>
    </row>
    <row r="2" customFormat="false" ht="15" hidden="false" customHeight="false" outlineLevel="0" collapsed="false">
      <c r="A2" s="0" t="s">
        <v>70</v>
      </c>
      <c r="B2" s="0" t="s">
        <v>74</v>
      </c>
      <c r="C2" s="0" t="s">
        <v>21</v>
      </c>
      <c r="D2" s="0" t="s">
        <v>350</v>
      </c>
    </row>
    <row r="3" customFormat="false" ht="15" hidden="false" customHeight="false" outlineLevel="0" collapsed="false">
      <c r="A3" s="0" t="s">
        <v>18</v>
      </c>
      <c r="B3" s="0" t="s">
        <v>73</v>
      </c>
      <c r="C3" s="0" t="s">
        <v>74</v>
      </c>
      <c r="D3" s="0" t="s">
        <v>23</v>
      </c>
    </row>
    <row r="4" customFormat="false" ht="15" hidden="false" customHeight="false" outlineLevel="0" collapsed="false">
      <c r="A4" s="0" t="s">
        <v>330</v>
      </c>
      <c r="C4" s="0" t="s">
        <v>73</v>
      </c>
      <c r="D4" s="0" t="s">
        <v>559</v>
      </c>
    </row>
    <row r="5" customFormat="false" ht="15" hidden="false" customHeight="false" outlineLevel="0" collapsed="false">
      <c r="A5" s="0" t="s">
        <v>327</v>
      </c>
      <c r="D5" s="0" t="s">
        <v>560</v>
      </c>
    </row>
    <row r="6" customFormat="false" ht="15" hidden="false" customHeight="false" outlineLevel="0" collapsed="false">
      <c r="A6" s="0" t="s">
        <v>205</v>
      </c>
    </row>
    <row r="7" customFormat="false" ht="15" hidden="false" customHeight="false" outlineLevel="0" collapsed="false">
      <c r="A7" s="0" t="s">
        <v>547</v>
      </c>
    </row>
    <row r="8" customFormat="false" ht="15" hidden="false" customHeight="false" outlineLevel="0" collapsed="false">
      <c r="A8" s="0" t="s">
        <v>548</v>
      </c>
    </row>
    <row r="9" customFormat="false" ht="15" hidden="false" customHeight="false" outlineLevel="0" collapsed="false">
      <c r="A9" s="0" t="s">
        <v>349</v>
      </c>
    </row>
    <row r="10" customFormat="false" ht="15" hidden="false" customHeight="false" outlineLevel="0" collapsed="false">
      <c r="A10" s="0" t="s">
        <v>549</v>
      </c>
    </row>
    <row r="11" customFormat="false" ht="15" hidden="false" customHeight="false" outlineLevel="0" collapsed="false">
      <c r="A11" s="0" t="s">
        <v>550</v>
      </c>
    </row>
    <row r="12" customFormat="false" ht="15" hidden="false" customHeight="false" outlineLevel="0" collapsed="false">
      <c r="A12" s="0" t="s">
        <v>551</v>
      </c>
    </row>
    <row r="13" customFormat="false" ht="15" hidden="false" customHeight="false" outlineLevel="0" collapsed="false">
      <c r="A13" s="0" t="s">
        <v>552</v>
      </c>
    </row>
    <row r="14" customFormat="false" ht="15" hidden="false" customHeight="false" outlineLevel="0" collapsed="false">
      <c r="A14" s="0" t="s">
        <v>553</v>
      </c>
    </row>
    <row r="15" customFormat="false" ht="15" hidden="false" customHeight="false" outlineLevel="0" collapsed="false">
      <c r="A15" s="0" t="s">
        <v>554</v>
      </c>
    </row>
    <row r="16" customFormat="false" ht="15" hidden="false" customHeight="false" outlineLevel="0" collapsed="false">
      <c r="A16" s="0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2" t="s">
        <v>4</v>
      </c>
      <c r="B1" s="12" t="s">
        <v>561</v>
      </c>
      <c r="C1" s="12" t="s">
        <v>14</v>
      </c>
    </row>
    <row r="2" customFormat="false" ht="15" hidden="false" customHeight="false" outlineLevel="0" collapsed="false">
      <c r="A2" s="13" t="s">
        <v>157</v>
      </c>
      <c r="B2" s="13" t="s">
        <v>562</v>
      </c>
      <c r="C2" s="13" t="s">
        <v>563</v>
      </c>
    </row>
    <row r="3" customFormat="false" ht="15" hidden="false" customHeight="false" outlineLevel="0" collapsed="false">
      <c r="A3" s="13" t="s">
        <v>70</v>
      </c>
      <c r="B3" s="13" t="s">
        <v>564</v>
      </c>
      <c r="C3" s="13" t="s">
        <v>565</v>
      </c>
    </row>
    <row r="4" customFormat="false" ht="15" hidden="false" customHeight="false" outlineLevel="0" collapsed="false">
      <c r="A4" s="13" t="s">
        <v>18</v>
      </c>
      <c r="B4" s="13" t="s">
        <v>566</v>
      </c>
      <c r="C4" s="13" t="s">
        <v>567</v>
      </c>
    </row>
    <row r="5" customFormat="false" ht="15" hidden="false" customHeight="false" outlineLevel="0" collapsed="false">
      <c r="A5" s="13" t="s">
        <v>330</v>
      </c>
      <c r="B5" s="13" t="s">
        <v>568</v>
      </c>
      <c r="C5" s="13" t="s">
        <v>569</v>
      </c>
    </row>
    <row r="6" customFormat="false" ht="15" hidden="false" customHeight="false" outlineLevel="0" collapsed="false">
      <c r="A6" s="13" t="s">
        <v>327</v>
      </c>
      <c r="B6" s="13" t="s">
        <v>570</v>
      </c>
      <c r="C6" s="13" t="s">
        <v>571</v>
      </c>
    </row>
    <row r="7" customFormat="false" ht="23.85" hidden="false" customHeight="false" outlineLevel="0" collapsed="false">
      <c r="A7" s="13" t="s">
        <v>205</v>
      </c>
      <c r="B7" s="13" t="s">
        <v>572</v>
      </c>
      <c r="C7" s="13" t="s">
        <v>573</v>
      </c>
    </row>
    <row r="8" customFormat="false" ht="15" hidden="false" customHeight="false" outlineLevel="0" collapsed="false">
      <c r="A8" s="13" t="s">
        <v>547</v>
      </c>
      <c r="B8" s="13" t="s">
        <v>574</v>
      </c>
      <c r="C8" s="13" t="s">
        <v>575</v>
      </c>
    </row>
    <row r="9" customFormat="false" ht="15" hidden="false" customHeight="false" outlineLevel="0" collapsed="false">
      <c r="A9" s="13" t="s">
        <v>548</v>
      </c>
      <c r="B9" s="13" t="s">
        <v>576</v>
      </c>
      <c r="C9" s="13" t="s">
        <v>577</v>
      </c>
    </row>
    <row r="10" customFormat="false" ht="15" hidden="false" customHeight="false" outlineLevel="0" collapsed="false">
      <c r="A10" s="13" t="s">
        <v>349</v>
      </c>
      <c r="B10" s="13" t="s">
        <v>578</v>
      </c>
      <c r="C10" s="13" t="s">
        <v>579</v>
      </c>
    </row>
    <row r="11" customFormat="false" ht="23.85" hidden="false" customHeight="false" outlineLevel="0" collapsed="false">
      <c r="A11" s="13" t="s">
        <v>549</v>
      </c>
      <c r="B11" s="13" t="s">
        <v>580</v>
      </c>
      <c r="C11" s="13" t="s">
        <v>581</v>
      </c>
    </row>
    <row r="12" customFormat="false" ht="15" hidden="false" customHeight="false" outlineLevel="0" collapsed="false">
      <c r="A12" s="13" t="s">
        <v>550</v>
      </c>
      <c r="B12" s="13" t="s">
        <v>582</v>
      </c>
      <c r="C12" s="13" t="s">
        <v>583</v>
      </c>
    </row>
    <row r="13" customFormat="false" ht="15" hidden="false" customHeight="false" outlineLevel="0" collapsed="false">
      <c r="A13" s="13" t="s">
        <v>551</v>
      </c>
      <c r="B13" s="13" t="s">
        <v>584</v>
      </c>
      <c r="C13" s="13" t="s">
        <v>585</v>
      </c>
    </row>
    <row r="14" customFormat="false" ht="15" hidden="false" customHeight="false" outlineLevel="0" collapsed="false">
      <c r="A14" s="13" t="s">
        <v>552</v>
      </c>
      <c r="B14" s="13" t="s">
        <v>586</v>
      </c>
      <c r="C14" s="13" t="s">
        <v>587</v>
      </c>
    </row>
    <row r="15" customFormat="false" ht="15" hidden="false" customHeight="false" outlineLevel="0" collapsed="false">
      <c r="A15" s="13" t="s">
        <v>553</v>
      </c>
      <c r="B15" s="13" t="s">
        <v>588</v>
      </c>
      <c r="C15" s="13" t="s">
        <v>589</v>
      </c>
    </row>
    <row r="16" customFormat="false" ht="15" hidden="false" customHeight="false" outlineLevel="0" collapsed="false">
      <c r="A16" s="13" t="s">
        <v>554</v>
      </c>
      <c r="B16" s="13" t="s">
        <v>590</v>
      </c>
      <c r="C16" s="13" t="s">
        <v>591</v>
      </c>
    </row>
    <row r="17" customFormat="false" ht="15" hidden="false" customHeight="false" outlineLevel="0" collapsed="false">
      <c r="A17" s="13" t="s">
        <v>555</v>
      </c>
      <c r="B17" s="13" t="s">
        <v>592</v>
      </c>
      <c r="C17" s="13" t="s">
        <v>593</v>
      </c>
    </row>
    <row r="19" customFormat="false" ht="15" hidden="false" customHeight="false" outlineLevel="0" collapsed="false">
      <c r="A19" s="14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2" t="s">
        <v>11</v>
      </c>
      <c r="B1" s="12" t="s">
        <v>595</v>
      </c>
      <c r="C1" s="12" t="s">
        <v>18</v>
      </c>
    </row>
    <row r="2" customFormat="false" ht="15" hidden="false" customHeight="false" outlineLevel="0" collapsed="false">
      <c r="A2" s="4" t="s">
        <v>596</v>
      </c>
      <c r="B2" s="4" t="s">
        <v>597</v>
      </c>
      <c r="C2" s="15" t="s">
        <v>598</v>
      </c>
    </row>
    <row r="3" customFormat="false" ht="15" hidden="false" customHeight="false" outlineLevel="0" collapsed="false">
      <c r="A3" s="4" t="s">
        <v>599</v>
      </c>
      <c r="B3" s="4" t="s">
        <v>600</v>
      </c>
      <c r="C3" s="15" t="s">
        <v>601</v>
      </c>
    </row>
    <row r="4" customFormat="false" ht="15" hidden="false" customHeight="false" outlineLevel="0" collapsed="false">
      <c r="A4" s="4" t="s">
        <v>602</v>
      </c>
      <c r="B4" s="4" t="s">
        <v>603</v>
      </c>
      <c r="C4" s="15" t="s">
        <v>604</v>
      </c>
    </row>
    <row r="5" customFormat="false" ht="15" hidden="false" customHeight="false" outlineLevel="0" collapsed="false">
      <c r="A5" s="4" t="s">
        <v>605</v>
      </c>
      <c r="B5" s="4" t="s">
        <v>606</v>
      </c>
      <c r="C5" s="15" t="s">
        <v>607</v>
      </c>
    </row>
    <row r="6" customFormat="false" ht="15" hidden="false" customHeight="false" outlineLevel="0" collapsed="false">
      <c r="A6" s="4" t="s">
        <v>608</v>
      </c>
      <c r="B6" s="4" t="s">
        <v>609</v>
      </c>
      <c r="C6" s="15" t="s">
        <v>610</v>
      </c>
    </row>
    <row r="7" customFormat="false" ht="15" hidden="false" customHeight="false" outlineLevel="0" collapsed="false">
      <c r="A7" s="4" t="s">
        <v>611</v>
      </c>
      <c r="B7" s="4" t="s">
        <v>612</v>
      </c>
      <c r="C7" s="15" t="s">
        <v>613</v>
      </c>
    </row>
    <row r="8" customFormat="false" ht="15" hidden="false" customHeight="false" outlineLevel="0" collapsed="false">
      <c r="A8" s="4" t="s">
        <v>614</v>
      </c>
      <c r="B8" s="4" t="s">
        <v>615</v>
      </c>
      <c r="C8" s="15" t="s">
        <v>616</v>
      </c>
    </row>
    <row r="9" customFormat="false" ht="15" hidden="false" customHeight="false" outlineLevel="0" collapsed="false">
      <c r="A9" s="4" t="s">
        <v>617</v>
      </c>
      <c r="B9" s="4" t="s">
        <v>618</v>
      </c>
      <c r="C9" s="15" t="s">
        <v>619</v>
      </c>
    </row>
    <row r="10" customFormat="false" ht="15" hidden="false" customHeight="false" outlineLevel="0" collapsed="false">
      <c r="A10" s="4" t="s">
        <v>620</v>
      </c>
      <c r="B10" s="4" t="s">
        <v>621</v>
      </c>
      <c r="C10" s="15" t="s">
        <v>622</v>
      </c>
    </row>
    <row r="11" customFormat="false" ht="15" hidden="false" customHeight="false" outlineLevel="0" collapsed="false">
      <c r="A11" s="4" t="s">
        <v>623</v>
      </c>
      <c r="B11" s="4" t="s">
        <v>624</v>
      </c>
      <c r="C11" s="15" t="s">
        <v>625</v>
      </c>
    </row>
  </sheetData>
  <hyperlinks>
    <hyperlink ref="C2" r:id="rId1" display="https://bazaar.abuse.ch"/>
    <hyperlink ref="C3" r:id="rId2" display="https://urlhaus.abuse.ch"/>
    <hyperlink ref="C4" r:id="rId3" display="https://threatfox.abuse.ch"/>
    <hyperlink ref="C5" r:id="rId4" display="https://feodotracker.abuse.ch"/>
    <hyperlink ref="C6" r:id="rId5" display="https://otx.alienvault.com"/>
    <hyperlink ref="C7" r:id="rId6" display="https://www.cisa.gov/news-events/cybersecurity-advisories"/>
    <hyperlink ref="C8" r:id="rId7" display="https://www.cert-in.org.in"/>
    <hyperlink ref="C9" r:id="rId8" display="https://www.misp-project.org"/>
    <hyperlink ref="C10" r:id="rId9" display="https://www.virustotal.com"/>
    <hyperlink ref="C11" r:id="rId10" display="https://www.spamhaus.org/blocklists/do-not-route-or-pee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2026-10-13T13:49:27Z</dcterms:created>
  <dc:creator>openpyxl</dc:creator>
  <dc:description/>
  <dc:language>en-US</dc:language>
  <cp:lastModifiedBy/>
  <dcterms:modified xsi:type="dcterms:W3CDTF">2026-10-13T13:49:27Z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